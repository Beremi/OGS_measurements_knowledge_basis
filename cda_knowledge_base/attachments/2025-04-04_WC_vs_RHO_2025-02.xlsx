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stabel.S\LW-D\Projekte\Mont Terri\RockLab\CD-A_ERT\ERT-CDAinversions\"/>
    </mc:Choice>
  </mc:AlternateContent>
  <bookViews>
    <workbookView xWindow="0" yWindow="0" windowWidth="19368" windowHeight="9192" activeTab="2"/>
  </bookViews>
  <sheets>
    <sheet name="Data2019+" sheetId="1" r:id="rId1"/>
    <sheet name="open-closed" sheetId="4" r:id="rId2"/>
    <sheet name="sidewalls" sheetId="5" r:id="rId3"/>
    <sheet name="top-bottom" sheetId="6" r:id="rId4"/>
    <sheet name="Tabelle1" sheetId="3" r:id="rId5"/>
    <sheet name="Kruschwitz2004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" i="2"/>
  <c r="B25" i="2"/>
  <c r="B24" i="2"/>
  <c r="G2" i="2" l="1"/>
  <c r="F2" i="2" l="1"/>
  <c r="D2" i="2"/>
  <c r="A3" i="2"/>
  <c r="D3" i="2" l="1"/>
  <c r="G3" i="2"/>
  <c r="F3" i="2"/>
  <c r="A4" i="2"/>
  <c r="D4" i="2" l="1"/>
  <c r="G4" i="2"/>
  <c r="F4" i="2"/>
  <c r="A5" i="2"/>
  <c r="D5" i="2" l="1"/>
  <c r="G5" i="2"/>
  <c r="F5" i="2"/>
  <c r="A6" i="2"/>
  <c r="D6" i="2" l="1"/>
  <c r="G6" i="2"/>
  <c r="F6" i="2"/>
  <c r="A7" i="2"/>
  <c r="D7" i="2" l="1"/>
  <c r="G7" i="2"/>
  <c r="F7" i="2"/>
  <c r="A8" i="2"/>
  <c r="D8" i="2" l="1"/>
  <c r="G8" i="2"/>
  <c r="F8" i="2"/>
  <c r="A9" i="2"/>
  <c r="D9" i="2" l="1"/>
  <c r="G9" i="2"/>
  <c r="F9" i="2"/>
  <c r="A10" i="2"/>
  <c r="D10" i="2" l="1"/>
  <c r="G10" i="2"/>
  <c r="F10" i="2"/>
  <c r="A11" i="2"/>
  <c r="D11" i="2" l="1"/>
  <c r="G11" i="2"/>
  <c r="F11" i="2"/>
  <c r="A12" i="2"/>
  <c r="D12" i="2" l="1"/>
  <c r="G12" i="2"/>
  <c r="F12" i="2"/>
  <c r="A13" i="2"/>
  <c r="D13" i="2" l="1"/>
  <c r="G13" i="2"/>
  <c r="F13" i="2"/>
  <c r="A14" i="2"/>
  <c r="D14" i="2" l="1"/>
  <c r="G14" i="2"/>
  <c r="F14" i="2"/>
  <c r="A15" i="2"/>
  <c r="D15" i="2" l="1"/>
  <c r="G15" i="2"/>
  <c r="F15" i="2"/>
  <c r="A16" i="2"/>
  <c r="D16" i="2" l="1"/>
  <c r="G16" i="2"/>
  <c r="A17" i="2"/>
  <c r="F16" i="2"/>
  <c r="D17" i="2" l="1"/>
  <c r="G17" i="2"/>
  <c r="A18" i="2"/>
  <c r="F17" i="2"/>
  <c r="A19" i="2" l="1"/>
  <c r="D18" i="2"/>
  <c r="G18" i="2"/>
  <c r="F18" i="2"/>
  <c r="D19" i="2" l="1"/>
  <c r="G19" i="2"/>
  <c r="F19" i="2"/>
</calcChain>
</file>

<file path=xl/sharedStrings.xml><?xml version="1.0" encoding="utf-8"?>
<sst xmlns="http://schemas.openxmlformats.org/spreadsheetml/2006/main" count="100" uniqueCount="26">
  <si>
    <t>Archie-Plot</t>
  </si>
  <si>
    <t>N3</t>
  </si>
  <si>
    <t>N4</t>
  </si>
  <si>
    <t>bottom</t>
  </si>
  <si>
    <t>resistivity</t>
  </si>
  <si>
    <t>Date</t>
  </si>
  <si>
    <t>location</t>
  </si>
  <si>
    <t>top</t>
  </si>
  <si>
    <t>std</t>
  </si>
  <si>
    <t>water content</t>
  </si>
  <si>
    <t>saturation</t>
  </si>
  <si>
    <t>cond.</t>
  </si>
  <si>
    <t>left</t>
  </si>
  <si>
    <t>right</t>
  </si>
  <si>
    <t xml:space="preserve">Model Data2019+ </t>
  </si>
  <si>
    <t>old fit</t>
  </si>
  <si>
    <t>NMR water 
content</t>
  </si>
  <si>
    <t>fluid cond [mS/cm]</t>
  </si>
  <si>
    <t>fluid resistivity [Ohm*m]</t>
  </si>
  <si>
    <t>[S/m]</t>
  </si>
  <si>
    <t>blue colors mark large differences of more than a week in dates between NMR and ERT</t>
  </si>
  <si>
    <t>Nische 3</t>
  </si>
  <si>
    <t>Nische 4</t>
  </si>
  <si>
    <t>open niche</t>
  </si>
  <si>
    <t>closed niche</t>
  </si>
  <si>
    <t>ERT data is missing: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</si>
</sst>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0" fillId="0" borderId="0" xfId="0" applyNumberFormat="1" applyAlignment="1">
      <alignment wrapText="1"/>
    </xf>
    <xf numFmtId="2" fontId="0" fillId="0" borderId="0" xfId="0" applyNumberFormat="1"/>
    <xf numFmtId="14" fontId="1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2" fillId="0" borderId="0" xfId="0" applyFont="1"/>
    <xf numFmtId="165" fontId="0" fillId="0" borderId="0" xfId="0" applyNumberFormat="1"/>
    <xf numFmtId="2" fontId="4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935045909958931"/>
          <c:y val="3.6427293549232541E-2"/>
          <c:w val="0.73205849268841383"/>
          <c:h val="0.71158270583256744"/>
        </c:manualLayout>
      </c:layout>
      <c:scatterChart>
        <c:scatterStyle val="lineMarker"/>
        <c:varyColors val="0"/>
        <c:ser>
          <c:idx val="12"/>
          <c:order val="0"/>
          <c:tx>
            <c:v>Closed twin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name>Fit (Closed twin)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3430342388120179E-2"/>
                  <c:y val="-0.26527845156796159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'Data2019+'!$B$4:$B$40</c:f>
              <c:numCache>
                <c:formatCode>0.000</c:formatCode>
                <c:ptCount val="37"/>
                <c:pt idx="0">
                  <c:v>0.11</c:v>
                </c:pt>
                <c:pt idx="1">
                  <c:v>0.1084</c:v>
                </c:pt>
                <c:pt idx="2">
                  <c:v>0.10390000000000001</c:v>
                </c:pt>
                <c:pt idx="3">
                  <c:v>0.1108</c:v>
                </c:pt>
                <c:pt idx="4">
                  <c:v>0.1033</c:v>
                </c:pt>
                <c:pt idx="5">
                  <c:v>0.1007</c:v>
                </c:pt>
                <c:pt idx="6">
                  <c:v>0.1239</c:v>
                </c:pt>
                <c:pt idx="7">
                  <c:v>0.13020000000000001</c:v>
                </c:pt>
                <c:pt idx="8">
                  <c:v>0.12790000000000001</c:v>
                </c:pt>
                <c:pt idx="9">
                  <c:v>0.1608</c:v>
                </c:pt>
                <c:pt idx="10">
                  <c:v>0.15279999999999999</c:v>
                </c:pt>
                <c:pt idx="11">
                  <c:v>0.15840000000000001</c:v>
                </c:pt>
                <c:pt idx="12">
                  <c:v>0.1535</c:v>
                </c:pt>
                <c:pt idx="13">
                  <c:v>0.1716</c:v>
                </c:pt>
                <c:pt idx="14">
                  <c:v>0.1502</c:v>
                </c:pt>
                <c:pt idx="15">
                  <c:v>0.15210000000000001</c:v>
                </c:pt>
                <c:pt idx="16">
                  <c:v>0.15090000000000001</c:v>
                </c:pt>
                <c:pt idx="17">
                  <c:v>0.14560000000000001</c:v>
                </c:pt>
                <c:pt idx="18">
                  <c:v>0.14610000000000001</c:v>
                </c:pt>
                <c:pt idx="19">
                  <c:v>0.14940000000000001</c:v>
                </c:pt>
                <c:pt idx="20">
                  <c:v>0.1368</c:v>
                </c:pt>
                <c:pt idx="21">
                  <c:v>0.1482</c:v>
                </c:pt>
                <c:pt idx="22">
                  <c:v>0.1489</c:v>
                </c:pt>
                <c:pt idx="23">
                  <c:v>0.1638</c:v>
                </c:pt>
                <c:pt idx="24">
                  <c:v>0.14849999999999999</c:v>
                </c:pt>
                <c:pt idx="25">
                  <c:v>0.16930000000000001</c:v>
                </c:pt>
                <c:pt idx="26">
                  <c:v>0.15329999999999999</c:v>
                </c:pt>
                <c:pt idx="27">
                  <c:v>0.15579999999999999</c:v>
                </c:pt>
                <c:pt idx="28">
                  <c:v>0.12989999999999999</c:v>
                </c:pt>
                <c:pt idx="29">
                  <c:v>0.1678</c:v>
                </c:pt>
                <c:pt idx="30">
                  <c:v>0.14810000000000001</c:v>
                </c:pt>
                <c:pt idx="31">
                  <c:v>0.1593</c:v>
                </c:pt>
                <c:pt idx="32">
                  <c:v>0.15570000000000001</c:v>
                </c:pt>
                <c:pt idx="33">
                  <c:v>0.1328</c:v>
                </c:pt>
                <c:pt idx="34">
                  <c:v>0.15240000000000001</c:v>
                </c:pt>
                <c:pt idx="35">
                  <c:v>0.14979999999999999</c:v>
                </c:pt>
                <c:pt idx="36">
                  <c:v>0.1467</c:v>
                </c:pt>
              </c:numCache>
            </c:numRef>
          </c:xVal>
          <c:yVal>
            <c:numRef>
              <c:f>'Data2019+'!$D$4:$D$40</c:f>
              <c:numCache>
                <c:formatCode>0.00</c:formatCode>
                <c:ptCount val="37"/>
                <c:pt idx="0">
                  <c:v>23.967400000000001</c:v>
                </c:pt>
                <c:pt idx="1">
                  <c:v>25.04</c:v>
                </c:pt>
                <c:pt idx="2">
                  <c:v>24.0093</c:v>
                </c:pt>
                <c:pt idx="3">
                  <c:v>25.046099999999999</c:v>
                </c:pt>
                <c:pt idx="4">
                  <c:v>34.569000000000003</c:v>
                </c:pt>
                <c:pt idx="5">
                  <c:v>53.063699999999997</c:v>
                </c:pt>
                <c:pt idx="6">
                  <c:v>32.121600000000001</c:v>
                </c:pt>
                <c:pt idx="7">
                  <c:v>22.805299999999999</c:v>
                </c:pt>
                <c:pt idx="8">
                  <c:v>29.997900000000001</c:v>
                </c:pt>
                <c:pt idx="9">
                  <c:v>22.9194</c:v>
                </c:pt>
                <c:pt idx="10">
                  <c:v>29.187000000000001</c:v>
                </c:pt>
                <c:pt idx="11">
                  <c:v>21.075299999999999</c:v>
                </c:pt>
                <c:pt idx="12">
                  <c:v>21.2119</c:v>
                </c:pt>
                <c:pt idx="13">
                  <c:v>22.602399999999999</c:v>
                </c:pt>
                <c:pt idx="14">
                  <c:v>29.2163</c:v>
                </c:pt>
                <c:pt idx="15">
                  <c:v>21.8003</c:v>
                </c:pt>
                <c:pt idx="16">
                  <c:v>21.308700000000002</c:v>
                </c:pt>
                <c:pt idx="17">
                  <c:v>22.675000000000001</c:v>
                </c:pt>
                <c:pt idx="18">
                  <c:v>28.4451</c:v>
                </c:pt>
                <c:pt idx="19">
                  <c:v>21.163599999999999</c:v>
                </c:pt>
                <c:pt idx="20">
                  <c:v>21.187999999999999</c:v>
                </c:pt>
                <c:pt idx="21">
                  <c:v>22.217300000000002</c:v>
                </c:pt>
                <c:pt idx="22">
                  <c:v>28.401499999999999</c:v>
                </c:pt>
                <c:pt idx="23">
                  <c:v>21.686900000000001</c:v>
                </c:pt>
                <c:pt idx="24">
                  <c:v>21.3081</c:v>
                </c:pt>
                <c:pt idx="25">
                  <c:v>22.44</c:v>
                </c:pt>
                <c:pt idx="26">
                  <c:v>27.933</c:v>
                </c:pt>
                <c:pt idx="27">
                  <c:v>21.196899999999999</c:v>
                </c:pt>
                <c:pt idx="28">
                  <c:v>21.1526</c:v>
                </c:pt>
                <c:pt idx="29">
                  <c:v>23.063700000000001</c:v>
                </c:pt>
                <c:pt idx="30">
                  <c:v>28.620999999999999</c:v>
                </c:pt>
                <c:pt idx="31">
                  <c:v>21.232800000000001</c:v>
                </c:pt>
                <c:pt idx="32">
                  <c:v>21.270199999999999</c:v>
                </c:pt>
                <c:pt idx="33">
                  <c:v>22.9968</c:v>
                </c:pt>
                <c:pt idx="34">
                  <c:v>28.728000000000002</c:v>
                </c:pt>
                <c:pt idx="35">
                  <c:v>21.630600000000001</c:v>
                </c:pt>
                <c:pt idx="36">
                  <c:v>21.244700000000002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2-4B5D-A547-F0A86158D6F3}"/>
            </c:ext>
          </c:extLst>
        </c:ser>
        <c:ser>
          <c:idx val="0"/>
          <c:order val="1"/>
          <c:tx>
            <c:v>Open twin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Fit (Open twin)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0488750417513099"/>
                  <c:y val="-0.2106157405679740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'Data2019+'!$G$4:$G$38</c:f>
              <c:numCache>
                <c:formatCode>0.000</c:formatCode>
                <c:ptCount val="35"/>
                <c:pt idx="0">
                  <c:v>8.4000000000000005E-2</c:v>
                </c:pt>
                <c:pt idx="1">
                  <c:v>9.5200000000000007E-2</c:v>
                </c:pt>
                <c:pt idx="2">
                  <c:v>8.0500000000000002E-2</c:v>
                </c:pt>
                <c:pt idx="3">
                  <c:v>7.6899999999999996E-2</c:v>
                </c:pt>
                <c:pt idx="4">
                  <c:v>0.1086</c:v>
                </c:pt>
                <c:pt idx="5">
                  <c:v>9.2899999999999996E-2</c:v>
                </c:pt>
                <c:pt idx="6">
                  <c:v>8.6599999999999996E-2</c:v>
                </c:pt>
                <c:pt idx="7">
                  <c:v>0.14499999999999999</c:v>
                </c:pt>
                <c:pt idx="8">
                  <c:v>0.12889999999999999</c:v>
                </c:pt>
                <c:pt idx="9">
                  <c:v>0.13950000000000001</c:v>
                </c:pt>
                <c:pt idx="10">
                  <c:v>0.13</c:v>
                </c:pt>
                <c:pt idx="11">
                  <c:v>9.35E-2</c:v>
                </c:pt>
                <c:pt idx="12">
                  <c:v>0.108</c:v>
                </c:pt>
                <c:pt idx="13">
                  <c:v>0.10730000000000001</c:v>
                </c:pt>
                <c:pt idx="14">
                  <c:v>7.5200000000000003E-2</c:v>
                </c:pt>
                <c:pt idx="15">
                  <c:v>9.7699999999999995E-2</c:v>
                </c:pt>
                <c:pt idx="16">
                  <c:v>0.11990000000000001</c:v>
                </c:pt>
                <c:pt idx="17">
                  <c:v>0.1368</c:v>
                </c:pt>
                <c:pt idx="18">
                  <c:v>0.10580000000000001</c:v>
                </c:pt>
                <c:pt idx="19">
                  <c:v>9.0399999999999994E-2</c:v>
                </c:pt>
                <c:pt idx="20">
                  <c:v>9.8100000000000007E-2</c:v>
                </c:pt>
                <c:pt idx="21">
                  <c:v>0.1105</c:v>
                </c:pt>
                <c:pt idx="22">
                  <c:v>9.9699999999999997E-2</c:v>
                </c:pt>
                <c:pt idx="23">
                  <c:v>9.8599999999999993E-2</c:v>
                </c:pt>
                <c:pt idx="24">
                  <c:v>0.1027</c:v>
                </c:pt>
                <c:pt idx="25">
                  <c:v>0.1148</c:v>
                </c:pt>
                <c:pt idx="26">
                  <c:v>0.1119</c:v>
                </c:pt>
                <c:pt idx="27">
                  <c:v>0.13519999999999999</c:v>
                </c:pt>
                <c:pt idx="28">
                  <c:v>0.1179</c:v>
                </c:pt>
                <c:pt idx="29">
                  <c:v>0.15</c:v>
                </c:pt>
                <c:pt idx="30">
                  <c:v>0.12509999999999999</c:v>
                </c:pt>
                <c:pt idx="31">
                  <c:v>8.9700000000000002E-2</c:v>
                </c:pt>
                <c:pt idx="32">
                  <c:v>9.4E-2</c:v>
                </c:pt>
                <c:pt idx="33">
                  <c:v>0.1105</c:v>
                </c:pt>
                <c:pt idx="34">
                  <c:v>0.10059999999999999</c:v>
                </c:pt>
              </c:numCache>
            </c:numRef>
          </c:xVal>
          <c:yVal>
            <c:numRef>
              <c:f>'Data2019+'!$I$4:$I$38</c:f>
              <c:numCache>
                <c:formatCode>0.00</c:formatCode>
                <c:ptCount val="35"/>
                <c:pt idx="0">
                  <c:v>34.887900000000002</c:v>
                </c:pt>
                <c:pt idx="1">
                  <c:v>16.704000000000001</c:v>
                </c:pt>
                <c:pt idx="2">
                  <c:v>50.330399999999997</c:v>
                </c:pt>
                <c:pt idx="3">
                  <c:v>57.549199999999999</c:v>
                </c:pt>
                <c:pt idx="4">
                  <c:v>36.154299999999999</c:v>
                </c:pt>
                <c:pt idx="5">
                  <c:v>58.689300000000003</c:v>
                </c:pt>
                <c:pt idx="6">
                  <c:v>55.740400000000001</c:v>
                </c:pt>
                <c:pt idx="7">
                  <c:v>32.1539</c:v>
                </c:pt>
                <c:pt idx="8">
                  <c:v>37.551200000000001</c:v>
                </c:pt>
                <c:pt idx="9">
                  <c:v>38.718800000000002</c:v>
                </c:pt>
                <c:pt idx="10">
                  <c:v>51.085099999999997</c:v>
                </c:pt>
                <c:pt idx="11">
                  <c:v>59.238900000000001</c:v>
                </c:pt>
                <c:pt idx="12">
                  <c:v>57.704099999999997</c:v>
                </c:pt>
                <c:pt idx="13">
                  <c:v>93.997900000000001</c:v>
                </c:pt>
                <c:pt idx="14">
                  <c:v>169.185</c:v>
                </c:pt>
                <c:pt idx="15">
                  <c:v>43.663899999999998</c:v>
                </c:pt>
                <c:pt idx="16">
                  <c:v>42.185099999999998</c:v>
                </c:pt>
                <c:pt idx="17">
                  <c:v>48.041800000000002</c:v>
                </c:pt>
                <c:pt idx="18">
                  <c:v>73.969200000000001</c:v>
                </c:pt>
                <c:pt idx="19">
                  <c:v>65.174899999999994</c:v>
                </c:pt>
                <c:pt idx="20">
                  <c:v>51.072200000000002</c:v>
                </c:pt>
                <c:pt idx="21">
                  <c:v>87.433499999999995</c:v>
                </c:pt>
                <c:pt idx="22">
                  <c:v>185.91900000000001</c:v>
                </c:pt>
                <c:pt idx="23">
                  <c:v>47.221699999999998</c:v>
                </c:pt>
                <c:pt idx="24">
                  <c:v>50.608600000000003</c:v>
                </c:pt>
                <c:pt idx="25">
                  <c:v>53.227200000000003</c:v>
                </c:pt>
                <c:pt idx="26">
                  <c:v>96.507199999999997</c:v>
                </c:pt>
                <c:pt idx="27">
                  <c:v>41.0608</c:v>
                </c:pt>
                <c:pt idx="28">
                  <c:v>40.7119</c:v>
                </c:pt>
                <c:pt idx="29">
                  <c:v>43.782600000000002</c:v>
                </c:pt>
                <c:pt idx="30">
                  <c:v>62.755200000000002</c:v>
                </c:pt>
                <c:pt idx="31">
                  <c:v>53.650599999999997</c:v>
                </c:pt>
                <c:pt idx="32">
                  <c:v>57.605600000000003</c:v>
                </c:pt>
                <c:pt idx="33">
                  <c:v>79.874499999999998</c:v>
                </c:pt>
                <c:pt idx="34">
                  <c:v>193.59700000000001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82-4B5D-A547-F0A86158D6F3}"/>
            </c:ext>
          </c:extLst>
        </c:ser>
        <c:ser>
          <c:idx val="2"/>
          <c:order val="2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bg2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name>Fit (All)</c:nam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0305919009194482"/>
                  <c:y val="0.17858141035537978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('Data2019+'!$B$4:$B$40,'Data2019+'!$G$4:$G$38)</c:f>
              <c:numCache>
                <c:formatCode>0.000</c:formatCode>
                <c:ptCount val="72"/>
                <c:pt idx="0">
                  <c:v>0.11</c:v>
                </c:pt>
                <c:pt idx="1">
                  <c:v>0.1084</c:v>
                </c:pt>
                <c:pt idx="2">
                  <c:v>0.10390000000000001</c:v>
                </c:pt>
                <c:pt idx="3">
                  <c:v>0.1108</c:v>
                </c:pt>
                <c:pt idx="4">
                  <c:v>0.1033</c:v>
                </c:pt>
                <c:pt idx="5">
                  <c:v>0.1007</c:v>
                </c:pt>
                <c:pt idx="6">
                  <c:v>0.1239</c:v>
                </c:pt>
                <c:pt idx="7">
                  <c:v>0.13020000000000001</c:v>
                </c:pt>
                <c:pt idx="8">
                  <c:v>0.12790000000000001</c:v>
                </c:pt>
                <c:pt idx="9">
                  <c:v>0.1608</c:v>
                </c:pt>
                <c:pt idx="10">
                  <c:v>0.15279999999999999</c:v>
                </c:pt>
                <c:pt idx="11">
                  <c:v>0.15840000000000001</c:v>
                </c:pt>
                <c:pt idx="12">
                  <c:v>0.1535</c:v>
                </c:pt>
                <c:pt idx="13">
                  <c:v>0.1716</c:v>
                </c:pt>
                <c:pt idx="14">
                  <c:v>0.1502</c:v>
                </c:pt>
                <c:pt idx="15">
                  <c:v>0.15210000000000001</c:v>
                </c:pt>
                <c:pt idx="16">
                  <c:v>0.15090000000000001</c:v>
                </c:pt>
                <c:pt idx="17">
                  <c:v>0.14560000000000001</c:v>
                </c:pt>
                <c:pt idx="18">
                  <c:v>0.14610000000000001</c:v>
                </c:pt>
                <c:pt idx="19">
                  <c:v>0.14940000000000001</c:v>
                </c:pt>
                <c:pt idx="20">
                  <c:v>0.1368</c:v>
                </c:pt>
                <c:pt idx="21">
                  <c:v>0.1482</c:v>
                </c:pt>
                <c:pt idx="22">
                  <c:v>0.1489</c:v>
                </c:pt>
                <c:pt idx="23">
                  <c:v>0.1638</c:v>
                </c:pt>
                <c:pt idx="24">
                  <c:v>0.14849999999999999</c:v>
                </c:pt>
                <c:pt idx="25">
                  <c:v>0.16930000000000001</c:v>
                </c:pt>
                <c:pt idx="26">
                  <c:v>0.15329999999999999</c:v>
                </c:pt>
                <c:pt idx="27">
                  <c:v>0.15579999999999999</c:v>
                </c:pt>
                <c:pt idx="28">
                  <c:v>0.12989999999999999</c:v>
                </c:pt>
                <c:pt idx="29">
                  <c:v>0.1678</c:v>
                </c:pt>
                <c:pt idx="30">
                  <c:v>0.14810000000000001</c:v>
                </c:pt>
                <c:pt idx="31">
                  <c:v>0.1593</c:v>
                </c:pt>
                <c:pt idx="32">
                  <c:v>0.15570000000000001</c:v>
                </c:pt>
                <c:pt idx="33">
                  <c:v>0.1328</c:v>
                </c:pt>
                <c:pt idx="34">
                  <c:v>0.15240000000000001</c:v>
                </c:pt>
                <c:pt idx="35">
                  <c:v>0.14979999999999999</c:v>
                </c:pt>
                <c:pt idx="36">
                  <c:v>0.1467</c:v>
                </c:pt>
                <c:pt idx="37">
                  <c:v>8.4000000000000005E-2</c:v>
                </c:pt>
                <c:pt idx="38">
                  <c:v>9.5200000000000007E-2</c:v>
                </c:pt>
                <c:pt idx="39">
                  <c:v>8.0500000000000002E-2</c:v>
                </c:pt>
                <c:pt idx="40">
                  <c:v>7.6899999999999996E-2</c:v>
                </c:pt>
                <c:pt idx="41">
                  <c:v>0.1086</c:v>
                </c:pt>
                <c:pt idx="42">
                  <c:v>9.2899999999999996E-2</c:v>
                </c:pt>
                <c:pt idx="43">
                  <c:v>8.6599999999999996E-2</c:v>
                </c:pt>
                <c:pt idx="44">
                  <c:v>0.14499999999999999</c:v>
                </c:pt>
                <c:pt idx="45">
                  <c:v>0.12889999999999999</c:v>
                </c:pt>
                <c:pt idx="46">
                  <c:v>0.13950000000000001</c:v>
                </c:pt>
                <c:pt idx="47">
                  <c:v>0.13</c:v>
                </c:pt>
                <c:pt idx="48">
                  <c:v>9.35E-2</c:v>
                </c:pt>
                <c:pt idx="49">
                  <c:v>0.108</c:v>
                </c:pt>
                <c:pt idx="50">
                  <c:v>0.10730000000000001</c:v>
                </c:pt>
                <c:pt idx="51">
                  <c:v>7.5200000000000003E-2</c:v>
                </c:pt>
                <c:pt idx="52">
                  <c:v>9.7699999999999995E-2</c:v>
                </c:pt>
                <c:pt idx="53">
                  <c:v>0.11990000000000001</c:v>
                </c:pt>
                <c:pt idx="54">
                  <c:v>0.1368</c:v>
                </c:pt>
                <c:pt idx="55">
                  <c:v>0.10580000000000001</c:v>
                </c:pt>
                <c:pt idx="56">
                  <c:v>9.0399999999999994E-2</c:v>
                </c:pt>
                <c:pt idx="57">
                  <c:v>9.8100000000000007E-2</c:v>
                </c:pt>
                <c:pt idx="58">
                  <c:v>0.1105</c:v>
                </c:pt>
                <c:pt idx="59">
                  <c:v>9.9699999999999997E-2</c:v>
                </c:pt>
                <c:pt idx="60">
                  <c:v>9.8599999999999993E-2</c:v>
                </c:pt>
                <c:pt idx="61">
                  <c:v>0.1027</c:v>
                </c:pt>
                <c:pt idx="62">
                  <c:v>0.1148</c:v>
                </c:pt>
                <c:pt idx="63">
                  <c:v>0.1119</c:v>
                </c:pt>
                <c:pt idx="64">
                  <c:v>0.13519999999999999</c:v>
                </c:pt>
                <c:pt idx="65">
                  <c:v>0.1179</c:v>
                </c:pt>
                <c:pt idx="66">
                  <c:v>0.15</c:v>
                </c:pt>
                <c:pt idx="67">
                  <c:v>0.12509999999999999</c:v>
                </c:pt>
                <c:pt idx="68">
                  <c:v>8.9700000000000002E-2</c:v>
                </c:pt>
                <c:pt idx="69">
                  <c:v>9.4E-2</c:v>
                </c:pt>
                <c:pt idx="70">
                  <c:v>0.1105</c:v>
                </c:pt>
                <c:pt idx="71">
                  <c:v>0.10059999999999999</c:v>
                </c:pt>
              </c:numCache>
            </c:numRef>
          </c:xVal>
          <c:yVal>
            <c:numRef>
              <c:f>('Data2019+'!$D$4:$D$40,'Data2019+'!$I$4:$I$38)</c:f>
              <c:numCache>
                <c:formatCode>0.00</c:formatCode>
                <c:ptCount val="72"/>
                <c:pt idx="0">
                  <c:v>23.967400000000001</c:v>
                </c:pt>
                <c:pt idx="1">
                  <c:v>25.04</c:v>
                </c:pt>
                <c:pt idx="2">
                  <c:v>24.0093</c:v>
                </c:pt>
                <c:pt idx="3">
                  <c:v>25.046099999999999</c:v>
                </c:pt>
                <c:pt idx="4">
                  <c:v>34.569000000000003</c:v>
                </c:pt>
                <c:pt idx="5">
                  <c:v>53.063699999999997</c:v>
                </c:pt>
                <c:pt idx="6">
                  <c:v>32.121600000000001</c:v>
                </c:pt>
                <c:pt idx="7">
                  <c:v>22.805299999999999</c:v>
                </c:pt>
                <c:pt idx="8">
                  <c:v>29.997900000000001</c:v>
                </c:pt>
                <c:pt idx="9">
                  <c:v>22.9194</c:v>
                </c:pt>
                <c:pt idx="10">
                  <c:v>29.187000000000001</c:v>
                </c:pt>
                <c:pt idx="11">
                  <c:v>21.075299999999999</c:v>
                </c:pt>
                <c:pt idx="12">
                  <c:v>21.2119</c:v>
                </c:pt>
                <c:pt idx="13">
                  <c:v>22.602399999999999</c:v>
                </c:pt>
                <c:pt idx="14">
                  <c:v>29.2163</c:v>
                </c:pt>
                <c:pt idx="15">
                  <c:v>21.8003</c:v>
                </c:pt>
                <c:pt idx="16">
                  <c:v>21.308700000000002</c:v>
                </c:pt>
                <c:pt idx="17">
                  <c:v>22.675000000000001</c:v>
                </c:pt>
                <c:pt idx="18">
                  <c:v>28.4451</c:v>
                </c:pt>
                <c:pt idx="19">
                  <c:v>21.163599999999999</c:v>
                </c:pt>
                <c:pt idx="20">
                  <c:v>21.187999999999999</c:v>
                </c:pt>
                <c:pt idx="21">
                  <c:v>22.217300000000002</c:v>
                </c:pt>
                <c:pt idx="22">
                  <c:v>28.401499999999999</c:v>
                </c:pt>
                <c:pt idx="23">
                  <c:v>21.686900000000001</c:v>
                </c:pt>
                <c:pt idx="24">
                  <c:v>21.3081</c:v>
                </c:pt>
                <c:pt idx="25">
                  <c:v>22.44</c:v>
                </c:pt>
                <c:pt idx="26">
                  <c:v>27.933</c:v>
                </c:pt>
                <c:pt idx="27">
                  <c:v>21.196899999999999</c:v>
                </c:pt>
                <c:pt idx="28">
                  <c:v>21.1526</c:v>
                </c:pt>
                <c:pt idx="29">
                  <c:v>23.063700000000001</c:v>
                </c:pt>
                <c:pt idx="30">
                  <c:v>28.620999999999999</c:v>
                </c:pt>
                <c:pt idx="31">
                  <c:v>21.232800000000001</c:v>
                </c:pt>
                <c:pt idx="32">
                  <c:v>21.270199999999999</c:v>
                </c:pt>
                <c:pt idx="33">
                  <c:v>22.9968</c:v>
                </c:pt>
                <c:pt idx="34">
                  <c:v>28.728000000000002</c:v>
                </c:pt>
                <c:pt idx="35">
                  <c:v>21.630600000000001</c:v>
                </c:pt>
                <c:pt idx="36">
                  <c:v>21.244700000000002</c:v>
                </c:pt>
                <c:pt idx="37">
                  <c:v>34.887900000000002</c:v>
                </c:pt>
                <c:pt idx="38">
                  <c:v>16.704000000000001</c:v>
                </c:pt>
                <c:pt idx="39">
                  <c:v>50.330399999999997</c:v>
                </c:pt>
                <c:pt idx="40">
                  <c:v>57.549199999999999</c:v>
                </c:pt>
                <c:pt idx="41">
                  <c:v>36.154299999999999</c:v>
                </c:pt>
                <c:pt idx="42">
                  <c:v>58.689300000000003</c:v>
                </c:pt>
                <c:pt idx="43">
                  <c:v>55.740400000000001</c:v>
                </c:pt>
                <c:pt idx="44">
                  <c:v>32.1539</c:v>
                </c:pt>
                <c:pt idx="45">
                  <c:v>37.551200000000001</c:v>
                </c:pt>
                <c:pt idx="46">
                  <c:v>38.718800000000002</c:v>
                </c:pt>
                <c:pt idx="47">
                  <c:v>51.085099999999997</c:v>
                </c:pt>
                <c:pt idx="48">
                  <c:v>59.238900000000001</c:v>
                </c:pt>
                <c:pt idx="49">
                  <c:v>57.704099999999997</c:v>
                </c:pt>
                <c:pt idx="50">
                  <c:v>93.997900000000001</c:v>
                </c:pt>
                <c:pt idx="51">
                  <c:v>169.185</c:v>
                </c:pt>
                <c:pt idx="52">
                  <c:v>43.663899999999998</c:v>
                </c:pt>
                <c:pt idx="53">
                  <c:v>42.185099999999998</c:v>
                </c:pt>
                <c:pt idx="54">
                  <c:v>48.041800000000002</c:v>
                </c:pt>
                <c:pt idx="55">
                  <c:v>73.969200000000001</c:v>
                </c:pt>
                <c:pt idx="56">
                  <c:v>65.174899999999994</c:v>
                </c:pt>
                <c:pt idx="57">
                  <c:v>51.072200000000002</c:v>
                </c:pt>
                <c:pt idx="58">
                  <c:v>87.433499999999995</c:v>
                </c:pt>
                <c:pt idx="59">
                  <c:v>185.91900000000001</c:v>
                </c:pt>
                <c:pt idx="60">
                  <c:v>47.221699999999998</c:v>
                </c:pt>
                <c:pt idx="61">
                  <c:v>50.608600000000003</c:v>
                </c:pt>
                <c:pt idx="62">
                  <c:v>53.227200000000003</c:v>
                </c:pt>
                <c:pt idx="63">
                  <c:v>96.507199999999997</c:v>
                </c:pt>
                <c:pt idx="64">
                  <c:v>41.0608</c:v>
                </c:pt>
                <c:pt idx="65">
                  <c:v>40.7119</c:v>
                </c:pt>
                <c:pt idx="66">
                  <c:v>43.782600000000002</c:v>
                </c:pt>
                <c:pt idx="67">
                  <c:v>62.755200000000002</c:v>
                </c:pt>
                <c:pt idx="68">
                  <c:v>53.650599999999997</c:v>
                </c:pt>
                <c:pt idx="69">
                  <c:v>57.605600000000003</c:v>
                </c:pt>
                <c:pt idx="70">
                  <c:v>79.874499999999998</c:v>
                </c:pt>
                <c:pt idx="71">
                  <c:v>193.59700000000001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D82-4B5D-A547-F0A86158D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80056"/>
        <c:axId val="537885632"/>
      </c:scatterChart>
      <c:valAx>
        <c:axId val="537880056"/>
        <c:scaling>
          <c:orientation val="minMax"/>
          <c:max val="0.18000000000000002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Water content [m</a:t>
                </a:r>
                <a:r>
                  <a:rPr lang="de-DE" b="1" baseline="30000"/>
                  <a:t>3</a:t>
                </a:r>
                <a:r>
                  <a:rPr lang="de-DE" b="1"/>
                  <a:t>/m</a:t>
                </a:r>
                <a:r>
                  <a:rPr lang="de-DE" b="1" baseline="30000"/>
                  <a:t>3</a:t>
                </a:r>
                <a:r>
                  <a:rPr lang="de-DE" b="1"/>
                  <a:t>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5632"/>
        <c:crosses val="autoZero"/>
        <c:crossBetween val="midCat"/>
        <c:majorUnit val="5.000000000000001E-2"/>
      </c:valAx>
      <c:valAx>
        <c:axId val="537885632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Resistivity [</a:t>
                </a:r>
                <a:r>
                  <a:rPr lang="el-GR" b="1"/>
                  <a:t>Ω</a:t>
                </a:r>
                <a:r>
                  <a:rPr lang="de-DE" b="1"/>
                  <a:t>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005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437847892137125"/>
          <c:y val="0.88670289763960775"/>
          <c:w val="0.75147808599196553"/>
          <c:h val="8.6871026550575742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935045909958931"/>
          <c:y val="3.6427293549232541E-2"/>
          <c:w val="0.73205849268841383"/>
          <c:h val="0.71158270583256744"/>
        </c:manualLayout>
      </c:layout>
      <c:scatterChart>
        <c:scatterStyle val="lineMarker"/>
        <c:varyColors val="0"/>
        <c:ser>
          <c:idx val="12"/>
          <c:order val="0"/>
          <c:tx>
            <c:v>Closed twin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name>Fit (Closed twin)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2631624689297947E-2"/>
                  <c:y val="-0.33767483969567097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'Data2019+'!$B$4:$B$40</c:f>
              <c:numCache>
                <c:formatCode>0.000</c:formatCode>
                <c:ptCount val="37"/>
                <c:pt idx="0">
                  <c:v>0.11</c:v>
                </c:pt>
                <c:pt idx="1">
                  <c:v>0.1084</c:v>
                </c:pt>
                <c:pt idx="2">
                  <c:v>0.10390000000000001</c:v>
                </c:pt>
                <c:pt idx="3">
                  <c:v>0.1108</c:v>
                </c:pt>
                <c:pt idx="4">
                  <c:v>0.1033</c:v>
                </c:pt>
                <c:pt idx="5">
                  <c:v>0.1007</c:v>
                </c:pt>
                <c:pt idx="6">
                  <c:v>0.1239</c:v>
                </c:pt>
                <c:pt idx="7">
                  <c:v>0.13020000000000001</c:v>
                </c:pt>
                <c:pt idx="8">
                  <c:v>0.12790000000000001</c:v>
                </c:pt>
                <c:pt idx="9">
                  <c:v>0.1608</c:v>
                </c:pt>
                <c:pt idx="10">
                  <c:v>0.15279999999999999</c:v>
                </c:pt>
                <c:pt idx="11">
                  <c:v>0.15840000000000001</c:v>
                </c:pt>
                <c:pt idx="12">
                  <c:v>0.1535</c:v>
                </c:pt>
                <c:pt idx="13">
                  <c:v>0.1716</c:v>
                </c:pt>
                <c:pt idx="14">
                  <c:v>0.1502</c:v>
                </c:pt>
                <c:pt idx="15">
                  <c:v>0.15210000000000001</c:v>
                </c:pt>
                <c:pt idx="16">
                  <c:v>0.15090000000000001</c:v>
                </c:pt>
                <c:pt idx="17">
                  <c:v>0.14560000000000001</c:v>
                </c:pt>
                <c:pt idx="18">
                  <c:v>0.14610000000000001</c:v>
                </c:pt>
                <c:pt idx="19">
                  <c:v>0.14940000000000001</c:v>
                </c:pt>
                <c:pt idx="20">
                  <c:v>0.1368</c:v>
                </c:pt>
                <c:pt idx="21">
                  <c:v>0.1482</c:v>
                </c:pt>
                <c:pt idx="22">
                  <c:v>0.1489</c:v>
                </c:pt>
                <c:pt idx="23">
                  <c:v>0.1638</c:v>
                </c:pt>
                <c:pt idx="24">
                  <c:v>0.14849999999999999</c:v>
                </c:pt>
                <c:pt idx="25">
                  <c:v>0.16930000000000001</c:v>
                </c:pt>
                <c:pt idx="26">
                  <c:v>0.15329999999999999</c:v>
                </c:pt>
                <c:pt idx="27">
                  <c:v>0.15579999999999999</c:v>
                </c:pt>
                <c:pt idx="28">
                  <c:v>0.12989999999999999</c:v>
                </c:pt>
                <c:pt idx="29">
                  <c:v>0.1678</c:v>
                </c:pt>
                <c:pt idx="30">
                  <c:v>0.14810000000000001</c:v>
                </c:pt>
                <c:pt idx="31">
                  <c:v>0.1593</c:v>
                </c:pt>
                <c:pt idx="32">
                  <c:v>0.15570000000000001</c:v>
                </c:pt>
                <c:pt idx="33">
                  <c:v>0.1328</c:v>
                </c:pt>
                <c:pt idx="34">
                  <c:v>0.15240000000000001</c:v>
                </c:pt>
                <c:pt idx="35">
                  <c:v>0.14979999999999999</c:v>
                </c:pt>
                <c:pt idx="36">
                  <c:v>0.1467</c:v>
                </c:pt>
              </c:numCache>
            </c:numRef>
          </c:xVal>
          <c:yVal>
            <c:numRef>
              <c:f>'Data2019+'!$D$4:$D$40</c:f>
              <c:numCache>
                <c:formatCode>0.00</c:formatCode>
                <c:ptCount val="37"/>
                <c:pt idx="0">
                  <c:v>23.967400000000001</c:v>
                </c:pt>
                <c:pt idx="1">
                  <c:v>25.04</c:v>
                </c:pt>
                <c:pt idx="2">
                  <c:v>24.0093</c:v>
                </c:pt>
                <c:pt idx="3">
                  <c:v>25.046099999999999</c:v>
                </c:pt>
                <c:pt idx="4">
                  <c:v>34.569000000000003</c:v>
                </c:pt>
                <c:pt idx="5">
                  <c:v>53.063699999999997</c:v>
                </c:pt>
                <c:pt idx="6">
                  <c:v>32.121600000000001</c:v>
                </c:pt>
                <c:pt idx="7">
                  <c:v>22.805299999999999</c:v>
                </c:pt>
                <c:pt idx="8">
                  <c:v>29.997900000000001</c:v>
                </c:pt>
                <c:pt idx="9">
                  <c:v>22.9194</c:v>
                </c:pt>
                <c:pt idx="10">
                  <c:v>29.187000000000001</c:v>
                </c:pt>
                <c:pt idx="11">
                  <c:v>21.075299999999999</c:v>
                </c:pt>
                <c:pt idx="12">
                  <c:v>21.2119</c:v>
                </c:pt>
                <c:pt idx="13">
                  <c:v>22.602399999999999</c:v>
                </c:pt>
                <c:pt idx="14">
                  <c:v>29.2163</c:v>
                </c:pt>
                <c:pt idx="15">
                  <c:v>21.8003</c:v>
                </c:pt>
                <c:pt idx="16">
                  <c:v>21.308700000000002</c:v>
                </c:pt>
                <c:pt idx="17">
                  <c:v>22.675000000000001</c:v>
                </c:pt>
                <c:pt idx="18">
                  <c:v>28.4451</c:v>
                </c:pt>
                <c:pt idx="19">
                  <c:v>21.163599999999999</c:v>
                </c:pt>
                <c:pt idx="20">
                  <c:v>21.187999999999999</c:v>
                </c:pt>
                <c:pt idx="21">
                  <c:v>22.217300000000002</c:v>
                </c:pt>
                <c:pt idx="22">
                  <c:v>28.401499999999999</c:v>
                </c:pt>
                <c:pt idx="23">
                  <c:v>21.686900000000001</c:v>
                </c:pt>
                <c:pt idx="24">
                  <c:v>21.3081</c:v>
                </c:pt>
                <c:pt idx="25">
                  <c:v>22.44</c:v>
                </c:pt>
                <c:pt idx="26">
                  <c:v>27.933</c:v>
                </c:pt>
                <c:pt idx="27">
                  <c:v>21.196899999999999</c:v>
                </c:pt>
                <c:pt idx="28">
                  <c:v>21.1526</c:v>
                </c:pt>
                <c:pt idx="29">
                  <c:v>23.063700000000001</c:v>
                </c:pt>
                <c:pt idx="30">
                  <c:v>28.620999999999999</c:v>
                </c:pt>
                <c:pt idx="31">
                  <c:v>21.232800000000001</c:v>
                </c:pt>
                <c:pt idx="32">
                  <c:v>21.270199999999999</c:v>
                </c:pt>
                <c:pt idx="33">
                  <c:v>22.9968</c:v>
                </c:pt>
                <c:pt idx="34">
                  <c:v>28.728000000000002</c:v>
                </c:pt>
                <c:pt idx="35">
                  <c:v>21.630600000000001</c:v>
                </c:pt>
                <c:pt idx="36">
                  <c:v>21.244700000000002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F-4A81-82FC-5D90F71F91F7}"/>
            </c:ext>
          </c:extLst>
        </c:ser>
        <c:ser>
          <c:idx val="0"/>
          <c:order val="1"/>
          <c:tx>
            <c:v>Open twin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Fit (Open twin)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7275403695399003"/>
                  <c:y val="-0.25689287850094689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'Data2019+'!$G$4:$G$38</c:f>
              <c:numCache>
                <c:formatCode>0.000</c:formatCode>
                <c:ptCount val="35"/>
                <c:pt idx="0">
                  <c:v>8.4000000000000005E-2</c:v>
                </c:pt>
                <c:pt idx="1">
                  <c:v>9.5200000000000007E-2</c:v>
                </c:pt>
                <c:pt idx="2">
                  <c:v>8.0500000000000002E-2</c:v>
                </c:pt>
                <c:pt idx="3">
                  <c:v>7.6899999999999996E-2</c:v>
                </c:pt>
                <c:pt idx="4">
                  <c:v>0.1086</c:v>
                </c:pt>
                <c:pt idx="5">
                  <c:v>9.2899999999999996E-2</c:v>
                </c:pt>
                <c:pt idx="6">
                  <c:v>8.6599999999999996E-2</c:v>
                </c:pt>
                <c:pt idx="7">
                  <c:v>0.14499999999999999</c:v>
                </c:pt>
                <c:pt idx="8">
                  <c:v>0.12889999999999999</c:v>
                </c:pt>
                <c:pt idx="9">
                  <c:v>0.13950000000000001</c:v>
                </c:pt>
                <c:pt idx="10">
                  <c:v>0.13</c:v>
                </c:pt>
                <c:pt idx="11">
                  <c:v>9.35E-2</c:v>
                </c:pt>
                <c:pt idx="12">
                  <c:v>0.108</c:v>
                </c:pt>
                <c:pt idx="13">
                  <c:v>0.10730000000000001</c:v>
                </c:pt>
                <c:pt idx="14">
                  <c:v>7.5200000000000003E-2</c:v>
                </c:pt>
                <c:pt idx="15">
                  <c:v>9.7699999999999995E-2</c:v>
                </c:pt>
                <c:pt idx="16">
                  <c:v>0.11990000000000001</c:v>
                </c:pt>
                <c:pt idx="17">
                  <c:v>0.1368</c:v>
                </c:pt>
                <c:pt idx="18">
                  <c:v>0.10580000000000001</c:v>
                </c:pt>
                <c:pt idx="19">
                  <c:v>9.0399999999999994E-2</c:v>
                </c:pt>
                <c:pt idx="20">
                  <c:v>9.8100000000000007E-2</c:v>
                </c:pt>
                <c:pt idx="21">
                  <c:v>0.1105</c:v>
                </c:pt>
                <c:pt idx="22">
                  <c:v>9.9699999999999997E-2</c:v>
                </c:pt>
                <c:pt idx="23">
                  <c:v>9.8599999999999993E-2</c:v>
                </c:pt>
                <c:pt idx="24">
                  <c:v>0.1027</c:v>
                </c:pt>
                <c:pt idx="25">
                  <c:v>0.1148</c:v>
                </c:pt>
                <c:pt idx="26">
                  <c:v>0.1119</c:v>
                </c:pt>
                <c:pt idx="27">
                  <c:v>0.13519999999999999</c:v>
                </c:pt>
                <c:pt idx="28">
                  <c:v>0.1179</c:v>
                </c:pt>
                <c:pt idx="29">
                  <c:v>0.15</c:v>
                </c:pt>
                <c:pt idx="30">
                  <c:v>0.12509999999999999</c:v>
                </c:pt>
                <c:pt idx="31">
                  <c:v>8.9700000000000002E-2</c:v>
                </c:pt>
                <c:pt idx="32">
                  <c:v>9.4E-2</c:v>
                </c:pt>
                <c:pt idx="33">
                  <c:v>0.1105</c:v>
                </c:pt>
                <c:pt idx="34">
                  <c:v>0.10059999999999999</c:v>
                </c:pt>
              </c:numCache>
            </c:numRef>
          </c:xVal>
          <c:yVal>
            <c:numRef>
              <c:f>'Data2019+'!$I$4:$I$38</c:f>
              <c:numCache>
                <c:formatCode>0.00</c:formatCode>
                <c:ptCount val="35"/>
                <c:pt idx="0">
                  <c:v>34.887900000000002</c:v>
                </c:pt>
                <c:pt idx="1">
                  <c:v>16.704000000000001</c:v>
                </c:pt>
                <c:pt idx="2">
                  <c:v>50.330399999999997</c:v>
                </c:pt>
                <c:pt idx="3">
                  <c:v>57.549199999999999</c:v>
                </c:pt>
                <c:pt idx="4">
                  <c:v>36.154299999999999</c:v>
                </c:pt>
                <c:pt idx="5">
                  <c:v>58.689300000000003</c:v>
                </c:pt>
                <c:pt idx="6">
                  <c:v>55.740400000000001</c:v>
                </c:pt>
                <c:pt idx="7">
                  <c:v>32.1539</c:v>
                </c:pt>
                <c:pt idx="8">
                  <c:v>37.551200000000001</c:v>
                </c:pt>
                <c:pt idx="9">
                  <c:v>38.718800000000002</c:v>
                </c:pt>
                <c:pt idx="10">
                  <c:v>51.085099999999997</c:v>
                </c:pt>
                <c:pt idx="11">
                  <c:v>59.238900000000001</c:v>
                </c:pt>
                <c:pt idx="12">
                  <c:v>57.704099999999997</c:v>
                </c:pt>
                <c:pt idx="13">
                  <c:v>93.997900000000001</c:v>
                </c:pt>
                <c:pt idx="14">
                  <c:v>169.185</c:v>
                </c:pt>
                <c:pt idx="15">
                  <c:v>43.663899999999998</c:v>
                </c:pt>
                <c:pt idx="16">
                  <c:v>42.185099999999998</c:v>
                </c:pt>
                <c:pt idx="17">
                  <c:v>48.041800000000002</c:v>
                </c:pt>
                <c:pt idx="18">
                  <c:v>73.969200000000001</c:v>
                </c:pt>
                <c:pt idx="19">
                  <c:v>65.174899999999994</c:v>
                </c:pt>
                <c:pt idx="20">
                  <c:v>51.072200000000002</c:v>
                </c:pt>
                <c:pt idx="21">
                  <c:v>87.433499999999995</c:v>
                </c:pt>
                <c:pt idx="22">
                  <c:v>185.91900000000001</c:v>
                </c:pt>
                <c:pt idx="23">
                  <c:v>47.221699999999998</c:v>
                </c:pt>
                <c:pt idx="24">
                  <c:v>50.608600000000003</c:v>
                </c:pt>
                <c:pt idx="25">
                  <c:v>53.227200000000003</c:v>
                </c:pt>
                <c:pt idx="26">
                  <c:v>96.507199999999997</c:v>
                </c:pt>
                <c:pt idx="27">
                  <c:v>41.0608</c:v>
                </c:pt>
                <c:pt idx="28">
                  <c:v>40.7119</c:v>
                </c:pt>
                <c:pt idx="29">
                  <c:v>43.782600000000002</c:v>
                </c:pt>
                <c:pt idx="30">
                  <c:v>62.755200000000002</c:v>
                </c:pt>
                <c:pt idx="31">
                  <c:v>53.650599999999997</c:v>
                </c:pt>
                <c:pt idx="32">
                  <c:v>57.605600000000003</c:v>
                </c:pt>
                <c:pt idx="33">
                  <c:v>79.874499999999998</c:v>
                </c:pt>
                <c:pt idx="34">
                  <c:v>193.59700000000001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CF-4A81-82FC-5D90F71F91F7}"/>
            </c:ext>
          </c:extLst>
        </c:ser>
        <c:ser>
          <c:idx val="2"/>
          <c:order val="2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bg2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name>Fit (All)</c:nam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5098512106516483E-2"/>
                  <c:y val="0.2476654124721751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('Data2019+'!$B$4:$B$40,'Data2019+'!$G$4:$G$38)</c:f>
              <c:numCache>
                <c:formatCode>0.000</c:formatCode>
                <c:ptCount val="72"/>
                <c:pt idx="0">
                  <c:v>0.11</c:v>
                </c:pt>
                <c:pt idx="1">
                  <c:v>0.1084</c:v>
                </c:pt>
                <c:pt idx="2">
                  <c:v>0.10390000000000001</c:v>
                </c:pt>
                <c:pt idx="3">
                  <c:v>0.1108</c:v>
                </c:pt>
                <c:pt idx="4">
                  <c:v>0.1033</c:v>
                </c:pt>
                <c:pt idx="5">
                  <c:v>0.1007</c:v>
                </c:pt>
                <c:pt idx="6">
                  <c:v>0.1239</c:v>
                </c:pt>
                <c:pt idx="7">
                  <c:v>0.13020000000000001</c:v>
                </c:pt>
                <c:pt idx="8">
                  <c:v>0.12790000000000001</c:v>
                </c:pt>
                <c:pt idx="9">
                  <c:v>0.1608</c:v>
                </c:pt>
                <c:pt idx="10">
                  <c:v>0.15279999999999999</c:v>
                </c:pt>
                <c:pt idx="11">
                  <c:v>0.15840000000000001</c:v>
                </c:pt>
                <c:pt idx="12">
                  <c:v>0.1535</c:v>
                </c:pt>
                <c:pt idx="13">
                  <c:v>0.1716</c:v>
                </c:pt>
                <c:pt idx="14">
                  <c:v>0.1502</c:v>
                </c:pt>
                <c:pt idx="15">
                  <c:v>0.15210000000000001</c:v>
                </c:pt>
                <c:pt idx="16">
                  <c:v>0.15090000000000001</c:v>
                </c:pt>
                <c:pt idx="17">
                  <c:v>0.14560000000000001</c:v>
                </c:pt>
                <c:pt idx="18">
                  <c:v>0.14610000000000001</c:v>
                </c:pt>
                <c:pt idx="19">
                  <c:v>0.14940000000000001</c:v>
                </c:pt>
                <c:pt idx="20">
                  <c:v>0.1368</c:v>
                </c:pt>
                <c:pt idx="21">
                  <c:v>0.1482</c:v>
                </c:pt>
                <c:pt idx="22">
                  <c:v>0.1489</c:v>
                </c:pt>
                <c:pt idx="23">
                  <c:v>0.1638</c:v>
                </c:pt>
                <c:pt idx="24">
                  <c:v>0.14849999999999999</c:v>
                </c:pt>
                <c:pt idx="25">
                  <c:v>0.16930000000000001</c:v>
                </c:pt>
                <c:pt idx="26">
                  <c:v>0.15329999999999999</c:v>
                </c:pt>
                <c:pt idx="27">
                  <c:v>0.15579999999999999</c:v>
                </c:pt>
                <c:pt idx="28">
                  <c:v>0.12989999999999999</c:v>
                </c:pt>
                <c:pt idx="29">
                  <c:v>0.1678</c:v>
                </c:pt>
                <c:pt idx="30">
                  <c:v>0.14810000000000001</c:v>
                </c:pt>
                <c:pt idx="31">
                  <c:v>0.1593</c:v>
                </c:pt>
                <c:pt idx="32">
                  <c:v>0.15570000000000001</c:v>
                </c:pt>
                <c:pt idx="33">
                  <c:v>0.1328</c:v>
                </c:pt>
                <c:pt idx="34">
                  <c:v>0.15240000000000001</c:v>
                </c:pt>
                <c:pt idx="35">
                  <c:v>0.14979999999999999</c:v>
                </c:pt>
                <c:pt idx="36">
                  <c:v>0.1467</c:v>
                </c:pt>
                <c:pt idx="37">
                  <c:v>8.4000000000000005E-2</c:v>
                </c:pt>
                <c:pt idx="38">
                  <c:v>9.5200000000000007E-2</c:v>
                </c:pt>
                <c:pt idx="39">
                  <c:v>8.0500000000000002E-2</c:v>
                </c:pt>
                <c:pt idx="40">
                  <c:v>7.6899999999999996E-2</c:v>
                </c:pt>
                <c:pt idx="41">
                  <c:v>0.1086</c:v>
                </c:pt>
                <c:pt idx="42">
                  <c:v>9.2899999999999996E-2</c:v>
                </c:pt>
                <c:pt idx="43">
                  <c:v>8.6599999999999996E-2</c:v>
                </c:pt>
                <c:pt idx="44">
                  <c:v>0.14499999999999999</c:v>
                </c:pt>
                <c:pt idx="45">
                  <c:v>0.12889999999999999</c:v>
                </c:pt>
                <c:pt idx="46">
                  <c:v>0.13950000000000001</c:v>
                </c:pt>
                <c:pt idx="47">
                  <c:v>0.13</c:v>
                </c:pt>
                <c:pt idx="48">
                  <c:v>9.35E-2</c:v>
                </c:pt>
                <c:pt idx="49">
                  <c:v>0.108</c:v>
                </c:pt>
                <c:pt idx="50">
                  <c:v>0.10730000000000001</c:v>
                </c:pt>
                <c:pt idx="51">
                  <c:v>7.5200000000000003E-2</c:v>
                </c:pt>
                <c:pt idx="52">
                  <c:v>9.7699999999999995E-2</c:v>
                </c:pt>
                <c:pt idx="53">
                  <c:v>0.11990000000000001</c:v>
                </c:pt>
                <c:pt idx="54">
                  <c:v>0.1368</c:v>
                </c:pt>
                <c:pt idx="55">
                  <c:v>0.10580000000000001</c:v>
                </c:pt>
                <c:pt idx="56">
                  <c:v>9.0399999999999994E-2</c:v>
                </c:pt>
                <c:pt idx="57">
                  <c:v>9.8100000000000007E-2</c:v>
                </c:pt>
                <c:pt idx="58">
                  <c:v>0.1105</c:v>
                </c:pt>
                <c:pt idx="59">
                  <c:v>9.9699999999999997E-2</c:v>
                </c:pt>
                <c:pt idx="60">
                  <c:v>9.8599999999999993E-2</c:v>
                </c:pt>
                <c:pt idx="61">
                  <c:v>0.1027</c:v>
                </c:pt>
                <c:pt idx="62">
                  <c:v>0.1148</c:v>
                </c:pt>
                <c:pt idx="63">
                  <c:v>0.1119</c:v>
                </c:pt>
                <c:pt idx="64">
                  <c:v>0.13519999999999999</c:v>
                </c:pt>
                <c:pt idx="65">
                  <c:v>0.1179</c:v>
                </c:pt>
                <c:pt idx="66">
                  <c:v>0.15</c:v>
                </c:pt>
                <c:pt idx="67">
                  <c:v>0.12509999999999999</c:v>
                </c:pt>
                <c:pt idx="68">
                  <c:v>8.9700000000000002E-2</c:v>
                </c:pt>
                <c:pt idx="69">
                  <c:v>9.4E-2</c:v>
                </c:pt>
                <c:pt idx="70">
                  <c:v>0.1105</c:v>
                </c:pt>
                <c:pt idx="71">
                  <c:v>0.10059999999999999</c:v>
                </c:pt>
              </c:numCache>
            </c:numRef>
          </c:xVal>
          <c:yVal>
            <c:numRef>
              <c:f>('Data2019+'!$D$4:$D$40,'Data2019+'!$I$4:$I$38)</c:f>
              <c:numCache>
                <c:formatCode>0.00</c:formatCode>
                <c:ptCount val="72"/>
                <c:pt idx="0">
                  <c:v>23.967400000000001</c:v>
                </c:pt>
                <c:pt idx="1">
                  <c:v>25.04</c:v>
                </c:pt>
                <c:pt idx="2">
                  <c:v>24.0093</c:v>
                </c:pt>
                <c:pt idx="3">
                  <c:v>25.046099999999999</c:v>
                </c:pt>
                <c:pt idx="4">
                  <c:v>34.569000000000003</c:v>
                </c:pt>
                <c:pt idx="5">
                  <c:v>53.063699999999997</c:v>
                </c:pt>
                <c:pt idx="6">
                  <c:v>32.121600000000001</c:v>
                </c:pt>
                <c:pt idx="7">
                  <c:v>22.805299999999999</c:v>
                </c:pt>
                <c:pt idx="8">
                  <c:v>29.997900000000001</c:v>
                </c:pt>
                <c:pt idx="9">
                  <c:v>22.9194</c:v>
                </c:pt>
                <c:pt idx="10">
                  <c:v>29.187000000000001</c:v>
                </c:pt>
                <c:pt idx="11">
                  <c:v>21.075299999999999</c:v>
                </c:pt>
                <c:pt idx="12">
                  <c:v>21.2119</c:v>
                </c:pt>
                <c:pt idx="13">
                  <c:v>22.602399999999999</c:v>
                </c:pt>
                <c:pt idx="14">
                  <c:v>29.2163</c:v>
                </c:pt>
                <c:pt idx="15">
                  <c:v>21.8003</c:v>
                </c:pt>
                <c:pt idx="16">
                  <c:v>21.308700000000002</c:v>
                </c:pt>
                <c:pt idx="17">
                  <c:v>22.675000000000001</c:v>
                </c:pt>
                <c:pt idx="18">
                  <c:v>28.4451</c:v>
                </c:pt>
                <c:pt idx="19">
                  <c:v>21.163599999999999</c:v>
                </c:pt>
                <c:pt idx="20">
                  <c:v>21.187999999999999</c:v>
                </c:pt>
                <c:pt idx="21">
                  <c:v>22.217300000000002</c:v>
                </c:pt>
                <c:pt idx="22">
                  <c:v>28.401499999999999</c:v>
                </c:pt>
                <c:pt idx="23">
                  <c:v>21.686900000000001</c:v>
                </c:pt>
                <c:pt idx="24">
                  <c:v>21.3081</c:v>
                </c:pt>
                <c:pt idx="25">
                  <c:v>22.44</c:v>
                </c:pt>
                <c:pt idx="26">
                  <c:v>27.933</c:v>
                </c:pt>
                <c:pt idx="27">
                  <c:v>21.196899999999999</c:v>
                </c:pt>
                <c:pt idx="28">
                  <c:v>21.1526</c:v>
                </c:pt>
                <c:pt idx="29">
                  <c:v>23.063700000000001</c:v>
                </c:pt>
                <c:pt idx="30">
                  <c:v>28.620999999999999</c:v>
                </c:pt>
                <c:pt idx="31">
                  <c:v>21.232800000000001</c:v>
                </c:pt>
                <c:pt idx="32">
                  <c:v>21.270199999999999</c:v>
                </c:pt>
                <c:pt idx="33">
                  <c:v>22.9968</c:v>
                </c:pt>
                <c:pt idx="34">
                  <c:v>28.728000000000002</c:v>
                </c:pt>
                <c:pt idx="35">
                  <c:v>21.630600000000001</c:v>
                </c:pt>
                <c:pt idx="36">
                  <c:v>21.244700000000002</c:v>
                </c:pt>
                <c:pt idx="37">
                  <c:v>34.887900000000002</c:v>
                </c:pt>
                <c:pt idx="38">
                  <c:v>16.704000000000001</c:v>
                </c:pt>
                <c:pt idx="39">
                  <c:v>50.330399999999997</c:v>
                </c:pt>
                <c:pt idx="40">
                  <c:v>57.549199999999999</c:v>
                </c:pt>
                <c:pt idx="41">
                  <c:v>36.154299999999999</c:v>
                </c:pt>
                <c:pt idx="42">
                  <c:v>58.689300000000003</c:v>
                </c:pt>
                <c:pt idx="43">
                  <c:v>55.740400000000001</c:v>
                </c:pt>
                <c:pt idx="44">
                  <c:v>32.1539</c:v>
                </c:pt>
                <c:pt idx="45">
                  <c:v>37.551200000000001</c:v>
                </c:pt>
                <c:pt idx="46">
                  <c:v>38.718800000000002</c:v>
                </c:pt>
                <c:pt idx="47">
                  <c:v>51.085099999999997</c:v>
                </c:pt>
                <c:pt idx="48">
                  <c:v>59.238900000000001</c:v>
                </c:pt>
                <c:pt idx="49">
                  <c:v>57.704099999999997</c:v>
                </c:pt>
                <c:pt idx="50">
                  <c:v>93.997900000000001</c:v>
                </c:pt>
                <c:pt idx="51">
                  <c:v>169.185</c:v>
                </c:pt>
                <c:pt idx="52">
                  <c:v>43.663899999999998</c:v>
                </c:pt>
                <c:pt idx="53">
                  <c:v>42.185099999999998</c:v>
                </c:pt>
                <c:pt idx="54">
                  <c:v>48.041800000000002</c:v>
                </c:pt>
                <c:pt idx="55">
                  <c:v>73.969200000000001</c:v>
                </c:pt>
                <c:pt idx="56">
                  <c:v>65.174899999999994</c:v>
                </c:pt>
                <c:pt idx="57">
                  <c:v>51.072200000000002</c:v>
                </c:pt>
                <c:pt idx="58">
                  <c:v>87.433499999999995</c:v>
                </c:pt>
                <c:pt idx="59">
                  <c:v>185.91900000000001</c:v>
                </c:pt>
                <c:pt idx="60">
                  <c:v>47.221699999999998</c:v>
                </c:pt>
                <c:pt idx="61">
                  <c:v>50.608600000000003</c:v>
                </c:pt>
                <c:pt idx="62">
                  <c:v>53.227200000000003</c:v>
                </c:pt>
                <c:pt idx="63">
                  <c:v>96.507199999999997</c:v>
                </c:pt>
                <c:pt idx="64">
                  <c:v>41.0608</c:v>
                </c:pt>
                <c:pt idx="65">
                  <c:v>40.7119</c:v>
                </c:pt>
                <c:pt idx="66">
                  <c:v>43.782600000000002</c:v>
                </c:pt>
                <c:pt idx="67">
                  <c:v>62.755200000000002</c:v>
                </c:pt>
                <c:pt idx="68">
                  <c:v>53.650599999999997</c:v>
                </c:pt>
                <c:pt idx="69">
                  <c:v>57.605600000000003</c:v>
                </c:pt>
                <c:pt idx="70">
                  <c:v>79.874499999999998</c:v>
                </c:pt>
                <c:pt idx="71">
                  <c:v>193.59700000000001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CF-4A81-82FC-5D90F71F9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80056"/>
        <c:axId val="537885632"/>
      </c:scatterChart>
      <c:valAx>
        <c:axId val="537880056"/>
        <c:scaling>
          <c:orientation val="minMax"/>
          <c:max val="0.18000000000000002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Water content [m</a:t>
                </a:r>
                <a:r>
                  <a:rPr lang="de-DE" b="1" baseline="30000"/>
                  <a:t>3</a:t>
                </a:r>
                <a:r>
                  <a:rPr lang="de-DE" b="1"/>
                  <a:t>/m</a:t>
                </a:r>
                <a:r>
                  <a:rPr lang="de-DE" b="1" baseline="30000"/>
                  <a:t>3</a:t>
                </a:r>
                <a:r>
                  <a:rPr lang="de-DE" b="1"/>
                  <a:t>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5632"/>
        <c:crosses val="autoZero"/>
        <c:crossBetween val="midCat"/>
        <c:majorUnit val="5.000000000000001E-2"/>
      </c:valAx>
      <c:valAx>
        <c:axId val="537885632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Resistivity [</a:t>
                </a:r>
                <a:r>
                  <a:rPr lang="el-GR" b="1"/>
                  <a:t>Ω</a:t>
                </a:r>
                <a:r>
                  <a:rPr lang="de-DE" b="1"/>
                  <a:t>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005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437847892137125"/>
          <c:y val="0.88670289763960775"/>
          <c:w val="0.75147808599196553"/>
          <c:h val="8.6871026550575742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935045909958931"/>
          <c:y val="3.6427293549232541E-2"/>
          <c:w val="0.73205849268841383"/>
          <c:h val="0.71158270583256744"/>
        </c:manualLayout>
      </c:layout>
      <c:scatterChart>
        <c:scatterStyle val="lineMarker"/>
        <c:varyColors val="0"/>
        <c:ser>
          <c:idx val="12"/>
          <c:order val="0"/>
          <c:tx>
            <c:v>Closed twin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name>Fit (Closed twin)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437016564982364E-2"/>
                  <c:y val="-0.33064678228512573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('Data2019+'!$B$15:$B$16,'Data2019+'!$B$19:$B$20,'Data2019+'!$B$23:$B$24,'Data2019+'!$B$27:$B$28,'Data2019+'!$B$31:$B$32,'Data2019+'!$B$35:$B$36,'Data2019+'!$B$39:$B$40)</c:f>
              <c:numCache>
                <c:formatCode>0.000</c:formatCode>
                <c:ptCount val="14"/>
                <c:pt idx="0">
                  <c:v>0.15840000000000001</c:v>
                </c:pt>
                <c:pt idx="1">
                  <c:v>0.1535</c:v>
                </c:pt>
                <c:pt idx="2">
                  <c:v>0.15210000000000001</c:v>
                </c:pt>
                <c:pt idx="3">
                  <c:v>0.15090000000000001</c:v>
                </c:pt>
                <c:pt idx="4">
                  <c:v>0.14940000000000001</c:v>
                </c:pt>
                <c:pt idx="5">
                  <c:v>0.1368</c:v>
                </c:pt>
                <c:pt idx="6">
                  <c:v>0.1638</c:v>
                </c:pt>
                <c:pt idx="7">
                  <c:v>0.14849999999999999</c:v>
                </c:pt>
                <c:pt idx="8">
                  <c:v>0.15579999999999999</c:v>
                </c:pt>
                <c:pt idx="9">
                  <c:v>0.12989999999999999</c:v>
                </c:pt>
                <c:pt idx="10">
                  <c:v>0.1593</c:v>
                </c:pt>
                <c:pt idx="11">
                  <c:v>0.15570000000000001</c:v>
                </c:pt>
                <c:pt idx="12">
                  <c:v>0.14979999999999999</c:v>
                </c:pt>
                <c:pt idx="13">
                  <c:v>0.1467</c:v>
                </c:pt>
              </c:numCache>
            </c:numRef>
          </c:xVal>
          <c:yVal>
            <c:numRef>
              <c:f>('Data2019+'!$D$15:$D$16,'Data2019+'!$D$19:$D$20,'Data2019+'!$D$23:$D$24,'Data2019+'!$D$27:$D$28,'Data2019+'!$D$31:$D$32,'Data2019+'!$D$35:$D$36,'Data2019+'!$D$39:$D$40)</c:f>
              <c:numCache>
                <c:formatCode>0.00</c:formatCode>
                <c:ptCount val="14"/>
                <c:pt idx="0">
                  <c:v>21.075299999999999</c:v>
                </c:pt>
                <c:pt idx="1">
                  <c:v>21.2119</c:v>
                </c:pt>
                <c:pt idx="2">
                  <c:v>21.8003</c:v>
                </c:pt>
                <c:pt idx="3">
                  <c:v>21.308700000000002</c:v>
                </c:pt>
                <c:pt idx="4">
                  <c:v>21.163599999999999</c:v>
                </c:pt>
                <c:pt idx="5">
                  <c:v>21.187999999999999</c:v>
                </c:pt>
                <c:pt idx="6">
                  <c:v>21.686900000000001</c:v>
                </c:pt>
                <c:pt idx="7">
                  <c:v>21.3081</c:v>
                </c:pt>
                <c:pt idx="8">
                  <c:v>21.196899999999999</c:v>
                </c:pt>
                <c:pt idx="9">
                  <c:v>21.1526</c:v>
                </c:pt>
                <c:pt idx="10">
                  <c:v>21.232800000000001</c:v>
                </c:pt>
                <c:pt idx="11">
                  <c:v>21.270199999999999</c:v>
                </c:pt>
                <c:pt idx="12">
                  <c:v>21.630600000000001</c:v>
                </c:pt>
                <c:pt idx="13">
                  <c:v>21.244700000000002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8-48CD-8925-24F925298C71}"/>
            </c:ext>
          </c:extLst>
        </c:ser>
        <c:ser>
          <c:idx val="0"/>
          <c:order val="1"/>
          <c:tx>
            <c:v>Open twin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Fit (Open twin)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6723527315708051"/>
                  <c:y val="-0.275232358217881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('Data2019+'!$G$13:$G$14,'Data2019+'!$G$17:$G$18,'Data2019+'!$G$21:$G$22,'Data2019+'!$G$25:$G$26,'Data2019+'!$G$29:$G$30,'Data2019+'!$G$33:$G$34,'Data2019+'!$G$37:$G$38)</c:f>
              <c:numCache>
                <c:formatCode>0.000</c:formatCode>
                <c:ptCount val="14"/>
                <c:pt idx="0">
                  <c:v>0.13950000000000001</c:v>
                </c:pt>
                <c:pt idx="1">
                  <c:v>0.13</c:v>
                </c:pt>
                <c:pt idx="2">
                  <c:v>0.10730000000000001</c:v>
                </c:pt>
                <c:pt idx="3">
                  <c:v>7.5200000000000003E-2</c:v>
                </c:pt>
                <c:pt idx="4">
                  <c:v>0.1368</c:v>
                </c:pt>
                <c:pt idx="5">
                  <c:v>0.10580000000000001</c:v>
                </c:pt>
                <c:pt idx="6">
                  <c:v>0.1105</c:v>
                </c:pt>
                <c:pt idx="7">
                  <c:v>9.9699999999999997E-2</c:v>
                </c:pt>
                <c:pt idx="8">
                  <c:v>0.1148</c:v>
                </c:pt>
                <c:pt idx="9">
                  <c:v>0.1119</c:v>
                </c:pt>
                <c:pt idx="10">
                  <c:v>0.15</c:v>
                </c:pt>
                <c:pt idx="11">
                  <c:v>0.12509999999999999</c:v>
                </c:pt>
                <c:pt idx="12">
                  <c:v>0.1105</c:v>
                </c:pt>
                <c:pt idx="13">
                  <c:v>0.10059999999999999</c:v>
                </c:pt>
              </c:numCache>
            </c:numRef>
          </c:xVal>
          <c:yVal>
            <c:numRef>
              <c:f>('Data2019+'!$I$13:$I$14,'Data2019+'!$I$17:$I$18,'Data2019+'!$I$21:$I$22,'Data2019+'!$I$25:$I$26,'Data2019+'!$I$29:$I$30,'Data2019+'!$I$33:$I$34,'Data2019+'!$I$37:$I$38)</c:f>
              <c:numCache>
                <c:formatCode>0.00</c:formatCode>
                <c:ptCount val="14"/>
                <c:pt idx="0">
                  <c:v>38.718800000000002</c:v>
                </c:pt>
                <c:pt idx="1">
                  <c:v>51.085099999999997</c:v>
                </c:pt>
                <c:pt idx="2">
                  <c:v>93.997900000000001</c:v>
                </c:pt>
                <c:pt idx="3">
                  <c:v>169.185</c:v>
                </c:pt>
                <c:pt idx="4">
                  <c:v>48.041800000000002</c:v>
                </c:pt>
                <c:pt idx="5">
                  <c:v>73.969200000000001</c:v>
                </c:pt>
                <c:pt idx="6">
                  <c:v>87.433499999999995</c:v>
                </c:pt>
                <c:pt idx="7">
                  <c:v>185.91900000000001</c:v>
                </c:pt>
                <c:pt idx="8">
                  <c:v>53.227200000000003</c:v>
                </c:pt>
                <c:pt idx="9">
                  <c:v>96.507199999999997</c:v>
                </c:pt>
                <c:pt idx="10">
                  <c:v>43.782600000000002</c:v>
                </c:pt>
                <c:pt idx="11">
                  <c:v>62.755200000000002</c:v>
                </c:pt>
                <c:pt idx="12">
                  <c:v>79.874499999999998</c:v>
                </c:pt>
                <c:pt idx="13">
                  <c:v>193.59700000000001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8-48CD-8925-24F925298C71}"/>
            </c:ext>
          </c:extLst>
        </c:ser>
        <c:ser>
          <c:idx val="2"/>
          <c:order val="2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bg2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name>Fit (All)</c:nam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6555118110236218E-2"/>
                  <c:y val="0.23786296886939765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B$15:$B$16,'Data2019+'!$B$19:$B$20,'Data2019+'!$B$23:$B$24,'Data2019+'!$B$27:$B$28,'Data2019+'!$B$31:$B$32,'Data2019+'!$B$35:$B$36,'Data2019+'!$B$39:$B$40,'Data2019+'!$G$13:$G$14,'Data2019+'!$G$17:$G$18,'Data2019+'!$G$21:$G$22,'Data2019+'!$G$25:$G$26,'Data2019+'!$G$29:$G$30,'Data2019+'!$G$33:$G$34,'Data2019+'!$G$37:$G$38)</c:f>
              <c:numCache>
                <c:formatCode>0.000</c:formatCode>
                <c:ptCount val="28"/>
                <c:pt idx="0">
                  <c:v>0.15840000000000001</c:v>
                </c:pt>
                <c:pt idx="1">
                  <c:v>0.1535</c:v>
                </c:pt>
                <c:pt idx="2">
                  <c:v>0.15210000000000001</c:v>
                </c:pt>
                <c:pt idx="3">
                  <c:v>0.15090000000000001</c:v>
                </c:pt>
                <c:pt idx="4">
                  <c:v>0.14940000000000001</c:v>
                </c:pt>
                <c:pt idx="5">
                  <c:v>0.1368</c:v>
                </c:pt>
                <c:pt idx="6">
                  <c:v>0.1638</c:v>
                </c:pt>
                <c:pt idx="7">
                  <c:v>0.14849999999999999</c:v>
                </c:pt>
                <c:pt idx="8">
                  <c:v>0.15579999999999999</c:v>
                </c:pt>
                <c:pt idx="9">
                  <c:v>0.12989999999999999</c:v>
                </c:pt>
                <c:pt idx="10">
                  <c:v>0.1593</c:v>
                </c:pt>
                <c:pt idx="11">
                  <c:v>0.15570000000000001</c:v>
                </c:pt>
                <c:pt idx="12">
                  <c:v>0.14979999999999999</c:v>
                </c:pt>
                <c:pt idx="13">
                  <c:v>0.1467</c:v>
                </c:pt>
                <c:pt idx="14">
                  <c:v>0.13950000000000001</c:v>
                </c:pt>
                <c:pt idx="15">
                  <c:v>0.13</c:v>
                </c:pt>
                <c:pt idx="16">
                  <c:v>0.10730000000000001</c:v>
                </c:pt>
                <c:pt idx="17">
                  <c:v>7.5200000000000003E-2</c:v>
                </c:pt>
                <c:pt idx="18">
                  <c:v>0.1368</c:v>
                </c:pt>
                <c:pt idx="19">
                  <c:v>0.10580000000000001</c:v>
                </c:pt>
                <c:pt idx="20">
                  <c:v>0.1105</c:v>
                </c:pt>
                <c:pt idx="21">
                  <c:v>9.9699999999999997E-2</c:v>
                </c:pt>
                <c:pt idx="22">
                  <c:v>0.1148</c:v>
                </c:pt>
                <c:pt idx="23">
                  <c:v>0.1119</c:v>
                </c:pt>
                <c:pt idx="24">
                  <c:v>0.15</c:v>
                </c:pt>
                <c:pt idx="25">
                  <c:v>0.12509999999999999</c:v>
                </c:pt>
                <c:pt idx="26">
                  <c:v>0.1105</c:v>
                </c:pt>
                <c:pt idx="27">
                  <c:v>0.10059999999999999</c:v>
                </c:pt>
              </c:numCache>
            </c:numRef>
          </c:xVal>
          <c:yVal>
            <c:numRef>
              <c:f>('Data2019+'!$D$15:$D$16,'Data2019+'!$D$19:$D$20,'Data2019+'!$D$23:$D$24,'Data2019+'!$D$27:$D$28,'Data2019+'!$D$31:$D$32,'Data2019+'!$D$35:$D$36,'Data2019+'!$D$39:$D$40,'Data2019+'!$I$13:$I$14,'Data2019+'!$I$17:$I$18,'Data2019+'!$I$21:$I$22,'Data2019+'!$I$25:$I$26,'Data2019+'!$I$29:$I$30,'Data2019+'!$I$33:$I$34,'Data2019+'!$I$37:$I$38)</c:f>
              <c:numCache>
                <c:formatCode>0.00</c:formatCode>
                <c:ptCount val="28"/>
                <c:pt idx="0">
                  <c:v>21.075299999999999</c:v>
                </c:pt>
                <c:pt idx="1">
                  <c:v>21.2119</c:v>
                </c:pt>
                <c:pt idx="2">
                  <c:v>21.8003</c:v>
                </c:pt>
                <c:pt idx="3">
                  <c:v>21.308700000000002</c:v>
                </c:pt>
                <c:pt idx="4">
                  <c:v>21.163599999999999</c:v>
                </c:pt>
                <c:pt idx="5">
                  <c:v>21.187999999999999</c:v>
                </c:pt>
                <c:pt idx="6">
                  <c:v>21.686900000000001</c:v>
                </c:pt>
                <c:pt idx="7">
                  <c:v>21.3081</c:v>
                </c:pt>
                <c:pt idx="8">
                  <c:v>21.196899999999999</c:v>
                </c:pt>
                <c:pt idx="9">
                  <c:v>21.1526</c:v>
                </c:pt>
                <c:pt idx="10">
                  <c:v>21.232800000000001</c:v>
                </c:pt>
                <c:pt idx="11">
                  <c:v>21.270199999999999</c:v>
                </c:pt>
                <c:pt idx="12">
                  <c:v>21.630600000000001</c:v>
                </c:pt>
                <c:pt idx="13">
                  <c:v>21.244700000000002</c:v>
                </c:pt>
                <c:pt idx="14">
                  <c:v>38.718800000000002</c:v>
                </c:pt>
                <c:pt idx="15">
                  <c:v>51.085099999999997</c:v>
                </c:pt>
                <c:pt idx="16">
                  <c:v>93.997900000000001</c:v>
                </c:pt>
                <c:pt idx="17">
                  <c:v>169.185</c:v>
                </c:pt>
                <c:pt idx="18">
                  <c:v>48.041800000000002</c:v>
                </c:pt>
                <c:pt idx="19">
                  <c:v>73.969200000000001</c:v>
                </c:pt>
                <c:pt idx="20">
                  <c:v>87.433499999999995</c:v>
                </c:pt>
                <c:pt idx="21">
                  <c:v>185.91900000000001</c:v>
                </c:pt>
                <c:pt idx="22">
                  <c:v>53.227200000000003</c:v>
                </c:pt>
                <c:pt idx="23">
                  <c:v>96.507199999999997</c:v>
                </c:pt>
                <c:pt idx="24">
                  <c:v>43.782600000000002</c:v>
                </c:pt>
                <c:pt idx="25">
                  <c:v>62.755200000000002</c:v>
                </c:pt>
                <c:pt idx="26">
                  <c:v>79.874499999999998</c:v>
                </c:pt>
                <c:pt idx="27">
                  <c:v>193.59700000000001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28-48CD-8925-24F925298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80056"/>
        <c:axId val="537885632"/>
      </c:scatterChart>
      <c:valAx>
        <c:axId val="537880056"/>
        <c:scaling>
          <c:orientation val="minMax"/>
          <c:max val="0.18000000000000002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Water content [m</a:t>
                </a:r>
                <a:r>
                  <a:rPr lang="de-DE" b="1" baseline="30000"/>
                  <a:t>3</a:t>
                </a:r>
                <a:r>
                  <a:rPr lang="de-DE" b="1"/>
                  <a:t>/m</a:t>
                </a:r>
                <a:r>
                  <a:rPr lang="de-DE" b="1" baseline="30000"/>
                  <a:t>3</a:t>
                </a:r>
                <a:r>
                  <a:rPr lang="de-DE" b="1"/>
                  <a:t>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5632"/>
        <c:crosses val="autoZero"/>
        <c:crossBetween val="midCat"/>
        <c:majorUnit val="5.000000000000001E-2"/>
      </c:valAx>
      <c:valAx>
        <c:axId val="537885632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Resistivity [</a:t>
                </a:r>
                <a:r>
                  <a:rPr lang="el-GR" b="1"/>
                  <a:t>Ω</a:t>
                </a:r>
                <a:r>
                  <a:rPr lang="de-DE" b="1"/>
                  <a:t>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005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437847892137125"/>
          <c:y val="0.88670289763960775"/>
          <c:w val="0.75147808599196553"/>
          <c:h val="8.6871026550575742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935045909958931"/>
          <c:y val="3.6427293549232541E-2"/>
          <c:w val="0.73205849268841383"/>
          <c:h val="0.71158270583256744"/>
        </c:manualLayout>
      </c:layout>
      <c:scatterChart>
        <c:scatterStyle val="lineMarker"/>
        <c:varyColors val="0"/>
        <c:ser>
          <c:idx val="12"/>
          <c:order val="0"/>
          <c:tx>
            <c:v>Closed twin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name>Fit (Closed twin)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5128973944482108E-2"/>
                  <c:y val="-0.32731818332834978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('Data2019+'!$B$4:$B$14,'Data2019+'!$B$17:$B$18,'Data2019+'!$B$21:$B$22,'Data2019+'!$B$25:$B$26,'Data2019+'!$B$29:$B$30,'Data2019+'!$B$33:$B$34,'Data2019+'!$B$37:$B$38)</c:f>
              <c:numCache>
                <c:formatCode>0.000</c:formatCode>
                <c:ptCount val="23"/>
                <c:pt idx="0">
                  <c:v>0.11</c:v>
                </c:pt>
                <c:pt idx="1">
                  <c:v>0.1084</c:v>
                </c:pt>
                <c:pt idx="2">
                  <c:v>0.10390000000000001</c:v>
                </c:pt>
                <c:pt idx="3">
                  <c:v>0.1108</c:v>
                </c:pt>
                <c:pt idx="4">
                  <c:v>0.1033</c:v>
                </c:pt>
                <c:pt idx="5">
                  <c:v>0.1007</c:v>
                </c:pt>
                <c:pt idx="6">
                  <c:v>0.1239</c:v>
                </c:pt>
                <c:pt idx="7">
                  <c:v>0.13020000000000001</c:v>
                </c:pt>
                <c:pt idx="8">
                  <c:v>0.12790000000000001</c:v>
                </c:pt>
                <c:pt idx="9">
                  <c:v>0.1608</c:v>
                </c:pt>
                <c:pt idx="10">
                  <c:v>0.15279999999999999</c:v>
                </c:pt>
                <c:pt idx="11">
                  <c:v>0.1716</c:v>
                </c:pt>
                <c:pt idx="12">
                  <c:v>0.1502</c:v>
                </c:pt>
                <c:pt idx="13">
                  <c:v>0.14560000000000001</c:v>
                </c:pt>
                <c:pt idx="14">
                  <c:v>0.14610000000000001</c:v>
                </c:pt>
                <c:pt idx="15">
                  <c:v>0.1482</c:v>
                </c:pt>
                <c:pt idx="16">
                  <c:v>0.1489</c:v>
                </c:pt>
                <c:pt idx="17">
                  <c:v>0.16930000000000001</c:v>
                </c:pt>
                <c:pt idx="18">
                  <c:v>0.15329999999999999</c:v>
                </c:pt>
                <c:pt idx="19">
                  <c:v>0.1678</c:v>
                </c:pt>
                <c:pt idx="20">
                  <c:v>0.14810000000000001</c:v>
                </c:pt>
                <c:pt idx="21">
                  <c:v>0.1328</c:v>
                </c:pt>
                <c:pt idx="22">
                  <c:v>0.15240000000000001</c:v>
                </c:pt>
              </c:numCache>
            </c:numRef>
          </c:xVal>
          <c:yVal>
            <c:numRef>
              <c:f>('Data2019+'!$D$4:$D$14,'Data2019+'!$D$17:$D$18,'Data2019+'!$D$21:$D$22,'Data2019+'!$D$25:$D$26,'Data2019+'!$D$29:$D$30,'Data2019+'!$D$33:$D$34,'Data2019+'!$D$37:$D$38)</c:f>
              <c:numCache>
                <c:formatCode>0.00</c:formatCode>
                <c:ptCount val="23"/>
                <c:pt idx="0">
                  <c:v>23.967400000000001</c:v>
                </c:pt>
                <c:pt idx="1">
                  <c:v>25.04</c:v>
                </c:pt>
                <c:pt idx="2">
                  <c:v>24.0093</c:v>
                </c:pt>
                <c:pt idx="3">
                  <c:v>25.046099999999999</c:v>
                </c:pt>
                <c:pt idx="4">
                  <c:v>34.569000000000003</c:v>
                </c:pt>
                <c:pt idx="5">
                  <c:v>53.063699999999997</c:v>
                </c:pt>
                <c:pt idx="6">
                  <c:v>32.121600000000001</c:v>
                </c:pt>
                <c:pt idx="7">
                  <c:v>22.805299999999999</c:v>
                </c:pt>
                <c:pt idx="8">
                  <c:v>29.997900000000001</c:v>
                </c:pt>
                <c:pt idx="9">
                  <c:v>22.9194</c:v>
                </c:pt>
                <c:pt idx="10">
                  <c:v>29.187000000000001</c:v>
                </c:pt>
                <c:pt idx="11">
                  <c:v>22.602399999999999</c:v>
                </c:pt>
                <c:pt idx="12">
                  <c:v>29.2163</c:v>
                </c:pt>
                <c:pt idx="13">
                  <c:v>22.675000000000001</c:v>
                </c:pt>
                <c:pt idx="14">
                  <c:v>28.4451</c:v>
                </c:pt>
                <c:pt idx="15">
                  <c:v>22.217300000000002</c:v>
                </c:pt>
                <c:pt idx="16">
                  <c:v>28.401499999999999</c:v>
                </c:pt>
                <c:pt idx="17">
                  <c:v>22.44</c:v>
                </c:pt>
                <c:pt idx="18">
                  <c:v>27.933</c:v>
                </c:pt>
                <c:pt idx="19">
                  <c:v>23.063700000000001</c:v>
                </c:pt>
                <c:pt idx="20">
                  <c:v>28.620999999999999</c:v>
                </c:pt>
                <c:pt idx="21">
                  <c:v>22.9968</c:v>
                </c:pt>
                <c:pt idx="22">
                  <c:v>28.728000000000002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5-41B3-8CF5-17818B8A800F}"/>
            </c:ext>
          </c:extLst>
        </c:ser>
        <c:ser>
          <c:idx val="0"/>
          <c:order val="1"/>
          <c:tx>
            <c:v>Open twin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name>Fit (Open twin)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4735729432827519"/>
                  <c:y val="-0.2823002840625934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('Data2019+'!$G$4:$G$12,'Data2019+'!$G$15:$G$16,'Data2019+'!$G$19:$G$20,'Data2019+'!$G$23:$G$24,'Data2019+'!$G$27:$G$28,'Data2019+'!$G$31:$G$32,'Data2019+'!$G$35:$G$36)</c:f>
              <c:numCache>
                <c:formatCode>0.000</c:formatCode>
                <c:ptCount val="21"/>
                <c:pt idx="0">
                  <c:v>8.4000000000000005E-2</c:v>
                </c:pt>
                <c:pt idx="1">
                  <c:v>9.5200000000000007E-2</c:v>
                </c:pt>
                <c:pt idx="2">
                  <c:v>8.0500000000000002E-2</c:v>
                </c:pt>
                <c:pt idx="3">
                  <c:v>7.6899999999999996E-2</c:v>
                </c:pt>
                <c:pt idx="4">
                  <c:v>0.1086</c:v>
                </c:pt>
                <c:pt idx="5">
                  <c:v>9.2899999999999996E-2</c:v>
                </c:pt>
                <c:pt idx="6">
                  <c:v>8.6599999999999996E-2</c:v>
                </c:pt>
                <c:pt idx="7">
                  <c:v>0.14499999999999999</c:v>
                </c:pt>
                <c:pt idx="8">
                  <c:v>0.12889999999999999</c:v>
                </c:pt>
                <c:pt idx="9">
                  <c:v>9.35E-2</c:v>
                </c:pt>
                <c:pt idx="10">
                  <c:v>0.108</c:v>
                </c:pt>
                <c:pt idx="11">
                  <c:v>9.7699999999999995E-2</c:v>
                </c:pt>
                <c:pt idx="12">
                  <c:v>0.11990000000000001</c:v>
                </c:pt>
                <c:pt idx="13">
                  <c:v>9.0399999999999994E-2</c:v>
                </c:pt>
                <c:pt idx="14">
                  <c:v>9.8100000000000007E-2</c:v>
                </c:pt>
                <c:pt idx="15">
                  <c:v>9.8599999999999993E-2</c:v>
                </c:pt>
                <c:pt idx="16">
                  <c:v>0.1027</c:v>
                </c:pt>
                <c:pt idx="17">
                  <c:v>0.13519999999999999</c:v>
                </c:pt>
                <c:pt idx="18">
                  <c:v>0.1179</c:v>
                </c:pt>
                <c:pt idx="19">
                  <c:v>8.9700000000000002E-2</c:v>
                </c:pt>
                <c:pt idx="20">
                  <c:v>9.4E-2</c:v>
                </c:pt>
              </c:numCache>
            </c:numRef>
          </c:xVal>
          <c:yVal>
            <c:numRef>
              <c:f>('Data2019+'!$I$4:$I$12,'Data2019+'!$I$15:$I$16,'Data2019+'!$I$19:$I$20,'Data2019+'!$I$23:$I$24,'Data2019+'!$I$27:$I$28,'Data2019+'!$I$31:$I$32,'Data2019+'!$I$35:$I$36)</c:f>
              <c:numCache>
                <c:formatCode>0.00</c:formatCode>
                <c:ptCount val="21"/>
                <c:pt idx="0">
                  <c:v>34.887900000000002</c:v>
                </c:pt>
                <c:pt idx="1">
                  <c:v>16.704000000000001</c:v>
                </c:pt>
                <c:pt idx="2">
                  <c:v>50.330399999999997</c:v>
                </c:pt>
                <c:pt idx="3">
                  <c:v>57.549199999999999</c:v>
                </c:pt>
                <c:pt idx="4">
                  <c:v>36.154299999999999</c:v>
                </c:pt>
                <c:pt idx="5">
                  <c:v>58.689300000000003</c:v>
                </c:pt>
                <c:pt idx="6">
                  <c:v>55.740400000000001</c:v>
                </c:pt>
                <c:pt idx="7">
                  <c:v>32.1539</c:v>
                </c:pt>
                <c:pt idx="8">
                  <c:v>37.551200000000001</c:v>
                </c:pt>
                <c:pt idx="9">
                  <c:v>59.238900000000001</c:v>
                </c:pt>
                <c:pt idx="10">
                  <c:v>57.704099999999997</c:v>
                </c:pt>
                <c:pt idx="11">
                  <c:v>43.663899999999998</c:v>
                </c:pt>
                <c:pt idx="12">
                  <c:v>42.185099999999998</c:v>
                </c:pt>
                <c:pt idx="13">
                  <c:v>65.174899999999994</c:v>
                </c:pt>
                <c:pt idx="14">
                  <c:v>51.072200000000002</c:v>
                </c:pt>
                <c:pt idx="15">
                  <c:v>47.221699999999998</c:v>
                </c:pt>
                <c:pt idx="16">
                  <c:v>50.608600000000003</c:v>
                </c:pt>
                <c:pt idx="17">
                  <c:v>41.0608</c:v>
                </c:pt>
                <c:pt idx="18">
                  <c:v>40.7119</c:v>
                </c:pt>
                <c:pt idx="19">
                  <c:v>53.650599999999997</c:v>
                </c:pt>
                <c:pt idx="20">
                  <c:v>57.605600000000003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5-41B3-8CF5-17818B8A800F}"/>
            </c:ext>
          </c:extLst>
        </c:ser>
        <c:ser>
          <c:idx val="2"/>
          <c:order val="2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bg2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name>Fit (All)</c:nam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5.3376657801880723E-2"/>
                  <c:y val="0.258213935678926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Data2019+'!$B$4:$B$14,'Data2019+'!$B$17:$B$18,'Data2019+'!$B$21:$B$22,'Data2019+'!$B$25:$B$26,'Data2019+'!$B$29:$B$30,'Data2019+'!$B$33:$B$34,'Data2019+'!$B$37:$B$38,'Data2019+'!$G$4:$G$12,'Data2019+'!$G$15:$G$16,'Data2019+'!$G$19:$G$20,'Data2019+'!$G$23:$G$24,'Data2019+'!$G$27:$G$28,'Data2019+'!$G$31:$G$32,'Data2019+'!$G$35:$G$36)</c:f>
              <c:numCache>
                <c:formatCode>0.000</c:formatCode>
                <c:ptCount val="44"/>
                <c:pt idx="0">
                  <c:v>0.11</c:v>
                </c:pt>
                <c:pt idx="1">
                  <c:v>0.1084</c:v>
                </c:pt>
                <c:pt idx="2">
                  <c:v>0.10390000000000001</c:v>
                </c:pt>
                <c:pt idx="3">
                  <c:v>0.1108</c:v>
                </c:pt>
                <c:pt idx="4">
                  <c:v>0.1033</c:v>
                </c:pt>
                <c:pt idx="5">
                  <c:v>0.1007</c:v>
                </c:pt>
                <c:pt idx="6">
                  <c:v>0.1239</c:v>
                </c:pt>
                <c:pt idx="7">
                  <c:v>0.13020000000000001</c:v>
                </c:pt>
                <c:pt idx="8">
                  <c:v>0.12790000000000001</c:v>
                </c:pt>
                <c:pt idx="9">
                  <c:v>0.1608</c:v>
                </c:pt>
                <c:pt idx="10">
                  <c:v>0.15279999999999999</c:v>
                </c:pt>
                <c:pt idx="11">
                  <c:v>0.1716</c:v>
                </c:pt>
                <c:pt idx="12">
                  <c:v>0.1502</c:v>
                </c:pt>
                <c:pt idx="13">
                  <c:v>0.14560000000000001</c:v>
                </c:pt>
                <c:pt idx="14">
                  <c:v>0.14610000000000001</c:v>
                </c:pt>
                <c:pt idx="15">
                  <c:v>0.1482</c:v>
                </c:pt>
                <c:pt idx="16">
                  <c:v>0.1489</c:v>
                </c:pt>
                <c:pt idx="17">
                  <c:v>0.16930000000000001</c:v>
                </c:pt>
                <c:pt idx="18">
                  <c:v>0.15329999999999999</c:v>
                </c:pt>
                <c:pt idx="19">
                  <c:v>0.1678</c:v>
                </c:pt>
                <c:pt idx="20">
                  <c:v>0.14810000000000001</c:v>
                </c:pt>
                <c:pt idx="21">
                  <c:v>0.1328</c:v>
                </c:pt>
                <c:pt idx="22">
                  <c:v>0.15240000000000001</c:v>
                </c:pt>
                <c:pt idx="23">
                  <c:v>8.4000000000000005E-2</c:v>
                </c:pt>
                <c:pt idx="24">
                  <c:v>9.5200000000000007E-2</c:v>
                </c:pt>
                <c:pt idx="25">
                  <c:v>8.0500000000000002E-2</c:v>
                </c:pt>
                <c:pt idx="26">
                  <c:v>7.6899999999999996E-2</c:v>
                </c:pt>
                <c:pt idx="27">
                  <c:v>0.1086</c:v>
                </c:pt>
                <c:pt idx="28">
                  <c:v>9.2899999999999996E-2</c:v>
                </c:pt>
                <c:pt idx="29">
                  <c:v>8.6599999999999996E-2</c:v>
                </c:pt>
                <c:pt idx="30">
                  <c:v>0.14499999999999999</c:v>
                </c:pt>
                <c:pt idx="31">
                  <c:v>0.12889999999999999</c:v>
                </c:pt>
                <c:pt idx="32">
                  <c:v>9.35E-2</c:v>
                </c:pt>
                <c:pt idx="33">
                  <c:v>0.108</c:v>
                </c:pt>
                <c:pt idx="34">
                  <c:v>9.7699999999999995E-2</c:v>
                </c:pt>
                <c:pt idx="35">
                  <c:v>0.11990000000000001</c:v>
                </c:pt>
                <c:pt idx="36">
                  <c:v>9.0399999999999994E-2</c:v>
                </c:pt>
                <c:pt idx="37">
                  <c:v>9.8100000000000007E-2</c:v>
                </c:pt>
                <c:pt idx="38">
                  <c:v>9.8599999999999993E-2</c:v>
                </c:pt>
                <c:pt idx="39">
                  <c:v>0.1027</c:v>
                </c:pt>
                <c:pt idx="40">
                  <c:v>0.13519999999999999</c:v>
                </c:pt>
                <c:pt idx="41">
                  <c:v>0.1179</c:v>
                </c:pt>
                <c:pt idx="42">
                  <c:v>8.9700000000000002E-2</c:v>
                </c:pt>
                <c:pt idx="43">
                  <c:v>9.4E-2</c:v>
                </c:pt>
              </c:numCache>
            </c:numRef>
          </c:xVal>
          <c:yVal>
            <c:numRef>
              <c:f>('Data2019+'!$D$4:$D$14,'Data2019+'!$D$17:$D$18,'Data2019+'!$D$21:$D$22,'Data2019+'!$D$25:$D$26,'Data2019+'!$D$29:$D$30,'Data2019+'!$D$33:$D$34,'Data2019+'!$D$37:$D$38,'Data2019+'!$I$4:$I$12,'Data2019+'!$I$15:$I$16,'Data2019+'!$I$19:$I$20,'Data2019+'!$I$23:$I$24,'Data2019+'!$I$27:$I$28,'Data2019+'!$I$31:$I$32,'Data2019+'!$I$35:$I$36)</c:f>
              <c:numCache>
                <c:formatCode>0.00</c:formatCode>
                <c:ptCount val="44"/>
                <c:pt idx="0">
                  <c:v>23.967400000000001</c:v>
                </c:pt>
                <c:pt idx="1">
                  <c:v>25.04</c:v>
                </c:pt>
                <c:pt idx="2">
                  <c:v>24.0093</c:v>
                </c:pt>
                <c:pt idx="3">
                  <c:v>25.046099999999999</c:v>
                </c:pt>
                <c:pt idx="4">
                  <c:v>34.569000000000003</c:v>
                </c:pt>
                <c:pt idx="5">
                  <c:v>53.063699999999997</c:v>
                </c:pt>
                <c:pt idx="6">
                  <c:v>32.121600000000001</c:v>
                </c:pt>
                <c:pt idx="7">
                  <c:v>22.805299999999999</c:v>
                </c:pt>
                <c:pt idx="8">
                  <c:v>29.997900000000001</c:v>
                </c:pt>
                <c:pt idx="9">
                  <c:v>22.9194</c:v>
                </c:pt>
                <c:pt idx="10">
                  <c:v>29.187000000000001</c:v>
                </c:pt>
                <c:pt idx="11">
                  <c:v>22.602399999999999</c:v>
                </c:pt>
                <c:pt idx="12">
                  <c:v>29.2163</c:v>
                </c:pt>
                <c:pt idx="13">
                  <c:v>22.675000000000001</c:v>
                </c:pt>
                <c:pt idx="14">
                  <c:v>28.4451</c:v>
                </c:pt>
                <c:pt idx="15">
                  <c:v>22.217300000000002</c:v>
                </c:pt>
                <c:pt idx="16">
                  <c:v>28.401499999999999</c:v>
                </c:pt>
                <c:pt idx="17">
                  <c:v>22.44</c:v>
                </c:pt>
                <c:pt idx="18">
                  <c:v>27.933</c:v>
                </c:pt>
                <c:pt idx="19">
                  <c:v>23.063700000000001</c:v>
                </c:pt>
                <c:pt idx="20">
                  <c:v>28.620999999999999</c:v>
                </c:pt>
                <c:pt idx="21">
                  <c:v>22.9968</c:v>
                </c:pt>
                <c:pt idx="22">
                  <c:v>28.728000000000002</c:v>
                </c:pt>
                <c:pt idx="23">
                  <c:v>34.887900000000002</c:v>
                </c:pt>
                <c:pt idx="24">
                  <c:v>16.704000000000001</c:v>
                </c:pt>
                <c:pt idx="25">
                  <c:v>50.330399999999997</c:v>
                </c:pt>
                <c:pt idx="26">
                  <c:v>57.549199999999999</c:v>
                </c:pt>
                <c:pt idx="27">
                  <c:v>36.154299999999999</c:v>
                </c:pt>
                <c:pt idx="28">
                  <c:v>58.689300000000003</c:v>
                </c:pt>
                <c:pt idx="29">
                  <c:v>55.740400000000001</c:v>
                </c:pt>
                <c:pt idx="30">
                  <c:v>32.1539</c:v>
                </c:pt>
                <c:pt idx="31">
                  <c:v>37.551200000000001</c:v>
                </c:pt>
                <c:pt idx="32">
                  <c:v>59.238900000000001</c:v>
                </c:pt>
                <c:pt idx="33">
                  <c:v>57.704099999999997</c:v>
                </c:pt>
                <c:pt idx="34">
                  <c:v>43.663899999999998</c:v>
                </c:pt>
                <c:pt idx="35">
                  <c:v>42.185099999999998</c:v>
                </c:pt>
                <c:pt idx="36">
                  <c:v>65.174899999999994</c:v>
                </c:pt>
                <c:pt idx="37">
                  <c:v>51.072200000000002</c:v>
                </c:pt>
                <c:pt idx="38">
                  <c:v>47.221699999999998</c:v>
                </c:pt>
                <c:pt idx="39">
                  <c:v>50.608600000000003</c:v>
                </c:pt>
                <c:pt idx="40">
                  <c:v>41.0608</c:v>
                </c:pt>
                <c:pt idx="41">
                  <c:v>40.7119</c:v>
                </c:pt>
                <c:pt idx="42">
                  <c:v>53.650599999999997</c:v>
                </c:pt>
                <c:pt idx="43">
                  <c:v>57.605600000000003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A5-41B3-8CF5-17818B8A8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880056"/>
        <c:axId val="537885632"/>
      </c:scatterChart>
      <c:valAx>
        <c:axId val="537880056"/>
        <c:scaling>
          <c:orientation val="minMax"/>
          <c:max val="0.18000000000000002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Water content [m</a:t>
                </a:r>
                <a:r>
                  <a:rPr lang="de-DE" b="1" baseline="30000"/>
                  <a:t>3</a:t>
                </a:r>
                <a:r>
                  <a:rPr lang="de-DE" b="1"/>
                  <a:t>/m</a:t>
                </a:r>
                <a:r>
                  <a:rPr lang="de-DE" b="1" baseline="30000"/>
                  <a:t>3</a:t>
                </a:r>
                <a:r>
                  <a:rPr lang="de-DE" b="1"/>
                  <a:t>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5632"/>
        <c:crosses val="autoZero"/>
        <c:crossBetween val="midCat"/>
        <c:majorUnit val="5.000000000000001E-2"/>
      </c:valAx>
      <c:valAx>
        <c:axId val="537885632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Resistivity [</a:t>
                </a:r>
                <a:r>
                  <a:rPr lang="el-GR" b="1"/>
                  <a:t>Ω</a:t>
                </a:r>
                <a:r>
                  <a:rPr lang="de-DE" b="1"/>
                  <a:t>m]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8005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437847892137125"/>
          <c:y val="0.88670289763960775"/>
          <c:w val="0.75147808599196553"/>
          <c:h val="8.6871026550575742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new fit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Kruschwitz2004!$A$2:$A$19</c:f>
              <c:numCache>
                <c:formatCode>General</c:formatCode>
                <c:ptCount val="1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</c:numCache>
            </c:numRef>
          </c:xVal>
          <c:yVal>
            <c:numRef>
              <c:f>Kruschwitz2004!$F$2:$F$19</c:f>
              <c:numCache>
                <c:formatCode>General</c:formatCode>
                <c:ptCount val="18"/>
                <c:pt idx="0">
                  <c:v>1601.5472659864879</c:v>
                </c:pt>
                <c:pt idx="1">
                  <c:v>535.68855436392141</c:v>
                </c:pt>
                <c:pt idx="2">
                  <c:v>282.2852447992779</c:v>
                </c:pt>
                <c:pt idx="3">
                  <c:v>179.17811941675706</c:v>
                </c:pt>
                <c:pt idx="4">
                  <c:v>125.94100468781357</c:v>
                </c:pt>
                <c:pt idx="5">
                  <c:v>94.419301831624182</c:v>
                </c:pt>
                <c:pt idx="6">
                  <c:v>74.009054711055072</c:v>
                </c:pt>
                <c:pt idx="7">
                  <c:v>59.931835795608968</c:v>
                </c:pt>
                <c:pt idx="8">
                  <c:v>49.754984522611331</c:v>
                </c:pt>
                <c:pt idx="9">
                  <c:v>42.124985112318207</c:v>
                </c:pt>
                <c:pt idx="10">
                  <c:v>36.235922141885254</c:v>
                </c:pt>
                <c:pt idx="11">
                  <c:v>31.581546406049203</c:v>
                </c:pt>
                <c:pt idx="12">
                  <c:v>27.829747356489676</c:v>
                </c:pt>
                <c:pt idx="13">
                  <c:v>24.754688400398383</c:v>
                </c:pt>
                <c:pt idx="14">
                  <c:v>22.198088119908405</c:v>
                </c:pt>
                <c:pt idx="15">
                  <c:v>20.046113629965468</c:v>
                </c:pt>
                <c:pt idx="16">
                  <c:v>18.215054064330079</c:v>
                </c:pt>
                <c:pt idx="17">
                  <c:v>16.642141195189549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B-47A6-8E6D-BF464A141D12}"/>
            </c:ext>
          </c:extLst>
        </c:ser>
        <c:ser>
          <c:idx val="1"/>
          <c:order val="1"/>
          <c:tx>
            <c:v>old fit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Kruschwitz2004!$A$2:$A$19</c:f>
              <c:numCache>
                <c:formatCode>General</c:formatCode>
                <c:ptCount val="1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</c:numCache>
            </c:numRef>
          </c:xVal>
          <c:yVal>
            <c:numRef>
              <c:f>Kruschwitz2004!$G$2:$G$19</c:f>
              <c:numCache>
                <c:formatCode>General</c:formatCode>
                <c:ptCount val="18"/>
                <c:pt idx="0">
                  <c:v>753.37654652181413</c:v>
                </c:pt>
                <c:pt idx="1">
                  <c:v>300.70964070365505</c:v>
                </c:pt>
                <c:pt idx="2">
                  <c:v>175.72211972311013</c:v>
                </c:pt>
                <c:pt idx="3">
                  <c:v>120.02801046780786</c:v>
                </c:pt>
                <c:pt idx="4">
                  <c:v>89.305219088741907</c:v>
                </c:pt>
                <c:pt idx="5">
                  <c:v>70.139342311064425</c:v>
                </c:pt>
                <c:pt idx="6">
                  <c:v>57.181717152628764</c:v>
                </c:pt>
                <c:pt idx="7">
                  <c:v>47.909083537025076</c:v>
                </c:pt>
                <c:pt idx="8">
                  <c:v>40.986494074631992</c:v>
                </c:pt>
                <c:pt idx="9">
                  <c:v>35.646106145884893</c:v>
                </c:pt>
                <c:pt idx="10">
                  <c:v>31.417150187803287</c:v>
                </c:pt>
                <c:pt idx="11">
                  <c:v>27.996061893519716</c:v>
                </c:pt>
                <c:pt idx="12">
                  <c:v>25.178923259240694</c:v>
                </c:pt>
                <c:pt idx="13">
                  <c:v>22.824036266022972</c:v>
                </c:pt>
                <c:pt idx="14">
                  <c:v>20.830091503460537</c:v>
                </c:pt>
                <c:pt idx="15">
                  <c:v>19.122872039716523</c:v>
                </c:pt>
                <c:pt idx="16">
                  <c:v>17.646853291517264</c:v>
                </c:pt>
                <c:pt idx="17">
                  <c:v>16.359726041097545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DB-47A6-8E6D-BF464A141D12}"/>
            </c:ext>
          </c:extLst>
        </c:ser>
        <c:ser>
          <c:idx val="2"/>
          <c:order val="2"/>
          <c:tx>
            <c:v>Kruschwitz, 2004</c:v>
          </c:tx>
          <c:spPr>
            <a:ln w="254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Kruschwitz2004!$A$2:$A$19</c:f>
              <c:numCache>
                <c:formatCode>General</c:formatCode>
                <c:ptCount val="18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6.0000000000000005E-2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9.9999999999999992E-2</c:v>
                </c:pt>
                <c:pt idx="10">
                  <c:v>0.10999999999999999</c:v>
                </c:pt>
                <c:pt idx="11">
                  <c:v>0.11999999999999998</c:v>
                </c:pt>
                <c:pt idx="12">
                  <c:v>0.12999999999999998</c:v>
                </c:pt>
                <c:pt idx="13">
                  <c:v>0.13999999999999999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0.18000000000000002</c:v>
                </c:pt>
              </c:numCache>
            </c:numRef>
          </c:xVal>
          <c:yVal>
            <c:numRef>
              <c:f>Kruschwitz2004!$D$2:$D$19</c:f>
              <c:numCache>
                <c:formatCode>General</c:formatCode>
                <c:ptCount val="18"/>
                <c:pt idx="0">
                  <c:v>25.576510091505828</c:v>
                </c:pt>
                <c:pt idx="1">
                  <c:v>18.093096792653899</c:v>
                </c:pt>
                <c:pt idx="2">
                  <c:v>14.263203861086163</c:v>
                </c:pt>
                <c:pt idx="3">
                  <c:v>11.757922197494759</c:v>
                </c:pt>
                <c:pt idx="4">
                  <c:v>9.9441940173325616</c:v>
                </c:pt>
                <c:pt idx="5">
                  <c:v>8.5576061677620174</c:v>
                </c:pt>
                <c:pt idx="6">
                  <c:v>7.4608006946087402</c:v>
                </c:pt>
                <c:pt idx="7">
                  <c:v>6.5724029530499557</c:v>
                </c:pt>
                <c:pt idx="8">
                  <c:v>5.8399024986181054</c:v>
                </c:pt>
                <c:pt idx="9">
                  <c:v>5.2273704195275768</c:v>
                </c:pt>
                <c:pt idx="10">
                  <c:v>4.7091689268316177</c:v>
                </c:pt>
                <c:pt idx="11">
                  <c:v>4.2664205210288042</c:v>
                </c:pt>
                <c:pt idx="12">
                  <c:v>3.8848827634336542</c:v>
                </c:pt>
                <c:pt idx="13">
                  <c:v>3.5535981022568861</c:v>
                </c:pt>
                <c:pt idx="14">
                  <c:v>3.263998961806005</c:v>
                </c:pt>
                <c:pt idx="15">
                  <c:v>3.0092941977500796</c:v>
                </c:pt>
                <c:pt idx="16">
                  <c:v>2.7840367623642774</c:v>
                </c:pt>
                <c:pt idx="17">
                  <c:v>2.5838120814117702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DB-47A6-8E6D-BF464A141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748392"/>
        <c:axId val="315743144"/>
      </c:scatterChart>
      <c:valAx>
        <c:axId val="315748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content [m3/m3]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43144"/>
        <c:crosses val="autoZero"/>
        <c:crossBetween val="midCat"/>
      </c:valAx>
      <c:valAx>
        <c:axId val="315743144"/>
        <c:scaling>
          <c:logBase val="10"/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REsistivity [Ohm*m]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48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 paperSize="9" orientation="landscape" horizontalDpi="30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385482</xdr:colOff>
      <xdr:row>0</xdr:row>
      <xdr:rowOff>53340</xdr:rowOff>
    </xdr:from>
    <xdr:to>
      <xdr:col>18</xdr:col>
      <xdr:colOff>350520</xdr:colOff>
      <xdr:row>34</xdr:row>
      <xdr:rowOff>71718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5</xdr:col>
      <xdr:colOff>640081</xdr:colOff>
      <xdr:row>26</xdr:row>
      <xdr:rowOff>60961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640080</xdr:colOff>
      <xdr:row>26</xdr:row>
      <xdr:rowOff>60960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640080</xdr:colOff>
      <xdr:row>26</xdr:row>
      <xdr:rowOff>60960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1</xdr:row>
      <xdr:rowOff>57150</xdr:rowOff>
    </xdr:from>
    <xdr:to>
      <xdr:col>13</xdr:col>
      <xdr:colOff>708660</xdr:colOff>
      <xdr:row>18</xdr:row>
      <xdr:rowOff>160020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13" zoomScale="85" zoomScaleNormal="85" workbookViewId="0">
      <selection activeCell="I26" sqref="I26"/>
    </sheetView>
  </sheetViews>
  <sheetFormatPr baseColWidth="10" defaultRowHeight="14.4" x14ac:dyDescent="0.3"/>
  <cols>
    <col min="1" max="1" width="16.109375" customWidth="1"/>
    <col min="2" max="2" width="11.44140625" style="2" customWidth="1"/>
    <col min="3" max="3" width="6.5546875" style="2" customWidth="1"/>
    <col min="4" max="4" width="11.5546875" style="2"/>
    <col min="7" max="7" width="10.21875" style="2" customWidth="1"/>
    <col min="8" max="8" width="7.5546875" style="2" customWidth="1"/>
  </cols>
  <sheetData>
    <row r="1" spans="1:10" x14ac:dyDescent="0.3">
      <c r="A1" t="s">
        <v>0</v>
      </c>
    </row>
    <row r="2" spans="1:10" x14ac:dyDescent="0.3">
      <c r="B2" s="2" t="s">
        <v>1</v>
      </c>
      <c r="G2" s="2" t="s">
        <v>2</v>
      </c>
    </row>
    <row r="3" spans="1:10" ht="43.2" x14ac:dyDescent="0.3">
      <c r="A3" t="s">
        <v>5</v>
      </c>
      <c r="B3" s="4" t="s">
        <v>16</v>
      </c>
      <c r="C3" s="2" t="s">
        <v>8</v>
      </c>
      <c r="D3" s="2" t="s">
        <v>4</v>
      </c>
      <c r="E3" t="s">
        <v>6</v>
      </c>
      <c r="F3" t="s">
        <v>5</v>
      </c>
      <c r="G3" s="4" t="s">
        <v>16</v>
      </c>
      <c r="H3" s="2" t="s">
        <v>8</v>
      </c>
      <c r="I3" t="s">
        <v>4</v>
      </c>
      <c r="J3" t="s">
        <v>6</v>
      </c>
    </row>
    <row r="4" spans="1:10" x14ac:dyDescent="0.3">
      <c r="A4" s="1">
        <v>43760</v>
      </c>
      <c r="B4" s="10">
        <v>0.11</v>
      </c>
      <c r="C4" s="10">
        <v>2.0199999999999999E-2</v>
      </c>
      <c r="D4" s="5">
        <v>23.967400000000001</v>
      </c>
      <c r="E4" t="s">
        <v>7</v>
      </c>
      <c r="F4" s="1">
        <v>43761</v>
      </c>
      <c r="G4" s="10">
        <v>8.4000000000000005E-2</v>
      </c>
      <c r="H4" s="10">
        <v>1.8100000000000002E-2</v>
      </c>
      <c r="I4" s="5">
        <v>34.887900000000002</v>
      </c>
      <c r="J4" t="s">
        <v>7</v>
      </c>
    </row>
    <row r="5" spans="1:10" x14ac:dyDescent="0.3">
      <c r="B5" s="10">
        <v>0.1084</v>
      </c>
      <c r="C5" s="10">
        <v>1.6999999999999999E-3</v>
      </c>
      <c r="D5" s="5">
        <v>25.04</v>
      </c>
      <c r="E5" t="s">
        <v>3</v>
      </c>
      <c r="G5" s="10">
        <v>9.5200000000000007E-2</v>
      </c>
      <c r="H5" s="10">
        <v>1.6500000000000001E-2</v>
      </c>
      <c r="I5" s="5">
        <v>16.704000000000001</v>
      </c>
      <c r="J5" t="s">
        <v>3</v>
      </c>
    </row>
    <row r="6" spans="1:10" x14ac:dyDescent="0.3">
      <c r="A6" s="1">
        <v>43762</v>
      </c>
      <c r="B6" s="10">
        <v>0.10390000000000001</v>
      </c>
      <c r="C6" s="10">
        <v>2.53E-2</v>
      </c>
      <c r="D6" s="5">
        <v>24.0093</v>
      </c>
      <c r="E6" t="s">
        <v>7</v>
      </c>
      <c r="F6" s="1">
        <v>43893</v>
      </c>
      <c r="G6" s="10">
        <v>8.0500000000000002E-2</v>
      </c>
      <c r="H6" s="10">
        <v>2.07E-2</v>
      </c>
      <c r="I6" s="5">
        <v>50.330399999999997</v>
      </c>
      <c r="J6" t="s">
        <v>7</v>
      </c>
    </row>
    <row r="7" spans="1:10" x14ac:dyDescent="0.3">
      <c r="B7" s="10">
        <v>0.1108</v>
      </c>
      <c r="C7" s="10">
        <v>5.8999999999999999E-3</v>
      </c>
      <c r="D7" s="5">
        <v>25.046099999999999</v>
      </c>
      <c r="E7" t="s">
        <v>3</v>
      </c>
      <c r="G7" s="10">
        <v>7.6899999999999996E-2</v>
      </c>
      <c r="H7" s="10">
        <v>2.8999999999999998E-3</v>
      </c>
      <c r="I7" s="5">
        <v>57.549199999999999</v>
      </c>
      <c r="J7" t="s">
        <v>3</v>
      </c>
    </row>
    <row r="8" spans="1:10" x14ac:dyDescent="0.3">
      <c r="A8" s="1">
        <v>43893</v>
      </c>
      <c r="B8" s="10">
        <v>0.1033</v>
      </c>
      <c r="C8" s="10">
        <v>2.2599999999999999E-2</v>
      </c>
      <c r="D8" s="5">
        <v>34.569000000000003</v>
      </c>
      <c r="E8" t="s">
        <v>7</v>
      </c>
      <c r="F8" s="1">
        <v>44091</v>
      </c>
      <c r="G8" s="10">
        <v>0.1086</v>
      </c>
      <c r="H8" s="10">
        <v>1.23E-2</v>
      </c>
      <c r="I8" s="5">
        <v>36.154299999999999</v>
      </c>
      <c r="J8" t="s">
        <v>3</v>
      </c>
    </row>
    <row r="9" spans="1:10" x14ac:dyDescent="0.3">
      <c r="B9" s="10">
        <v>0.1007</v>
      </c>
      <c r="C9" s="10">
        <v>5.7999999999999996E-3</v>
      </c>
      <c r="D9" s="5">
        <v>53.063699999999997</v>
      </c>
      <c r="E9" t="s">
        <v>3</v>
      </c>
      <c r="F9" s="1">
        <v>44274</v>
      </c>
      <c r="G9" s="10">
        <v>9.2899999999999996E-2</v>
      </c>
      <c r="H9" s="10">
        <v>0.01</v>
      </c>
      <c r="I9" s="5">
        <v>58.689300000000003</v>
      </c>
      <c r="J9" t="s">
        <v>7</v>
      </c>
    </row>
    <row r="10" spans="1:10" x14ac:dyDescent="0.3">
      <c r="A10" s="1">
        <v>44091</v>
      </c>
      <c r="B10" s="10">
        <v>0.1239</v>
      </c>
      <c r="C10" s="10">
        <v>8.3999999999999995E-3</v>
      </c>
      <c r="D10" s="5">
        <v>32.121600000000001</v>
      </c>
      <c r="E10" t="s">
        <v>3</v>
      </c>
      <c r="G10" s="10">
        <v>8.6599999999999996E-2</v>
      </c>
      <c r="H10" s="10">
        <v>9.5999999999999992E-3</v>
      </c>
      <c r="I10" s="5">
        <v>55.740400000000001</v>
      </c>
      <c r="J10" t="s">
        <v>3</v>
      </c>
    </row>
    <row r="11" spans="1:10" x14ac:dyDescent="0.3">
      <c r="A11" s="1">
        <v>44274</v>
      </c>
      <c r="B11" s="10">
        <v>0.13020000000000001</v>
      </c>
      <c r="C11" s="10">
        <v>2.9899999999999999E-2</v>
      </c>
      <c r="D11" s="5">
        <v>22.805299999999999</v>
      </c>
      <c r="E11" t="s">
        <v>7</v>
      </c>
      <c r="F11" s="1">
        <v>44475</v>
      </c>
      <c r="G11" s="10">
        <v>0.14499999999999999</v>
      </c>
      <c r="H11" s="10">
        <v>1.01E-2</v>
      </c>
      <c r="I11" s="5">
        <v>32.1539</v>
      </c>
      <c r="J11" t="s">
        <v>7</v>
      </c>
    </row>
    <row r="12" spans="1:10" x14ac:dyDescent="0.3">
      <c r="B12" s="10">
        <v>0.12790000000000001</v>
      </c>
      <c r="C12" s="10">
        <v>9.4999999999999998E-3</v>
      </c>
      <c r="D12" s="5">
        <v>29.997900000000001</v>
      </c>
      <c r="E12" t="s">
        <v>3</v>
      </c>
      <c r="G12" s="10">
        <v>0.12889999999999999</v>
      </c>
      <c r="H12" s="10">
        <v>9.1999999999999998E-3</v>
      </c>
      <c r="I12" s="5">
        <v>37.551200000000001</v>
      </c>
      <c r="J12" t="s">
        <v>3</v>
      </c>
    </row>
    <row r="13" spans="1:10" x14ac:dyDescent="0.3">
      <c r="A13" s="1">
        <v>44476</v>
      </c>
      <c r="B13" s="10">
        <v>0.1608</v>
      </c>
      <c r="C13" s="10">
        <v>1.54E-2</v>
      </c>
      <c r="D13" s="5">
        <v>22.9194</v>
      </c>
      <c r="E13" t="s">
        <v>7</v>
      </c>
      <c r="G13" s="10">
        <v>0.13950000000000001</v>
      </c>
      <c r="H13" s="10">
        <v>8.8999999999999999E-3</v>
      </c>
      <c r="I13" s="5">
        <v>38.718800000000002</v>
      </c>
      <c r="J13" t="s">
        <v>12</v>
      </c>
    </row>
    <row r="14" spans="1:10" x14ac:dyDescent="0.3">
      <c r="B14" s="10">
        <v>0.15279999999999999</v>
      </c>
      <c r="C14" s="10">
        <v>0.01</v>
      </c>
      <c r="D14" s="5">
        <v>29.187000000000001</v>
      </c>
      <c r="E14" t="s">
        <v>3</v>
      </c>
      <c r="G14" s="10">
        <v>0.13</v>
      </c>
      <c r="H14" s="10">
        <v>1.2699999999999999E-2</v>
      </c>
      <c r="I14" s="5">
        <v>51.085099999999997</v>
      </c>
      <c r="J14" t="s">
        <v>13</v>
      </c>
    </row>
    <row r="15" spans="1:10" x14ac:dyDescent="0.3">
      <c r="B15" s="10">
        <v>0.15840000000000001</v>
      </c>
      <c r="C15" s="10">
        <v>1.4500000000000001E-2</v>
      </c>
      <c r="D15" s="5">
        <v>21.075299999999999</v>
      </c>
      <c r="E15" t="s">
        <v>12</v>
      </c>
      <c r="F15" s="1">
        <v>44644</v>
      </c>
      <c r="G15" s="10">
        <v>9.35E-2</v>
      </c>
      <c r="H15" s="10">
        <v>1.35E-2</v>
      </c>
      <c r="I15" s="5">
        <v>59.238900000000001</v>
      </c>
      <c r="J15" t="s">
        <v>7</v>
      </c>
    </row>
    <row r="16" spans="1:10" x14ac:dyDescent="0.3">
      <c r="B16" s="10">
        <v>0.1535</v>
      </c>
      <c r="C16" s="10">
        <v>1.61E-2</v>
      </c>
      <c r="D16" s="5">
        <v>21.2119</v>
      </c>
      <c r="E16" t="s">
        <v>13</v>
      </c>
      <c r="G16" s="10">
        <v>0.108</v>
      </c>
      <c r="H16" s="10">
        <v>1.6500000000000001E-2</v>
      </c>
      <c r="I16" s="5">
        <v>57.704099999999997</v>
      </c>
      <c r="J16" t="s">
        <v>3</v>
      </c>
    </row>
    <row r="17" spans="1:10" x14ac:dyDescent="0.3">
      <c r="A17" s="6">
        <v>44679</v>
      </c>
      <c r="B17" s="10">
        <v>0.1716</v>
      </c>
      <c r="C17" s="10">
        <v>1.2699999999999999E-2</v>
      </c>
      <c r="D17" s="11">
        <v>22.602399999999999</v>
      </c>
      <c r="E17" s="8" t="s">
        <v>7</v>
      </c>
      <c r="G17" s="10">
        <v>0.10730000000000001</v>
      </c>
      <c r="H17" s="10">
        <v>1.35E-2</v>
      </c>
      <c r="I17" s="5">
        <v>93.997900000000001</v>
      </c>
      <c r="J17" t="s">
        <v>12</v>
      </c>
    </row>
    <row r="18" spans="1:10" x14ac:dyDescent="0.3">
      <c r="B18" s="10">
        <v>0.1502</v>
      </c>
      <c r="C18" s="10">
        <v>7.6E-3</v>
      </c>
      <c r="D18" s="11">
        <v>29.2163</v>
      </c>
      <c r="E18" s="8" t="s">
        <v>3</v>
      </c>
      <c r="G18" s="10">
        <v>7.5200000000000003E-2</v>
      </c>
      <c r="H18" s="10">
        <v>1.6899999999999998E-2</v>
      </c>
      <c r="I18" s="5">
        <v>169.185</v>
      </c>
      <c r="J18" t="s">
        <v>13</v>
      </c>
    </row>
    <row r="19" spans="1:10" x14ac:dyDescent="0.3">
      <c r="B19" s="10">
        <v>0.15210000000000001</v>
      </c>
      <c r="C19" s="10">
        <v>8.9999999999999993E-3</v>
      </c>
      <c r="D19" s="11">
        <v>21.8003</v>
      </c>
      <c r="E19" s="8" t="s">
        <v>12</v>
      </c>
      <c r="F19" s="6">
        <v>44853</v>
      </c>
      <c r="G19" s="10">
        <v>9.7699999999999995E-2</v>
      </c>
      <c r="H19" s="10">
        <v>1.01E-2</v>
      </c>
      <c r="I19" s="5">
        <v>43.663899999999998</v>
      </c>
      <c r="J19" t="s">
        <v>7</v>
      </c>
    </row>
    <row r="20" spans="1:10" x14ac:dyDescent="0.3">
      <c r="B20" s="10">
        <v>0.15090000000000001</v>
      </c>
      <c r="C20" s="10">
        <v>8.8000000000000005E-3</v>
      </c>
      <c r="D20" s="11">
        <v>21.308700000000002</v>
      </c>
      <c r="E20" s="8" t="s">
        <v>13</v>
      </c>
      <c r="G20" s="10">
        <v>0.11990000000000001</v>
      </c>
      <c r="H20" s="10">
        <v>1.03E-2</v>
      </c>
      <c r="I20" s="5">
        <v>42.185099999999998</v>
      </c>
      <c r="J20" t="s">
        <v>3</v>
      </c>
    </row>
    <row r="21" spans="1:10" x14ac:dyDescent="0.3">
      <c r="A21" s="6">
        <v>44854</v>
      </c>
      <c r="B21" s="10">
        <v>0.14560000000000001</v>
      </c>
      <c r="C21" s="10">
        <v>1.4800000000000001E-2</v>
      </c>
      <c r="D21" s="5">
        <v>22.675000000000001</v>
      </c>
      <c r="E21" t="s">
        <v>7</v>
      </c>
      <c r="G21" s="10">
        <v>0.1368</v>
      </c>
      <c r="H21" s="10">
        <v>9.9000000000000008E-3</v>
      </c>
      <c r="I21" s="5">
        <v>48.041800000000002</v>
      </c>
      <c r="J21" t="s">
        <v>12</v>
      </c>
    </row>
    <row r="22" spans="1:10" x14ac:dyDescent="0.3">
      <c r="B22" s="10">
        <v>0.14610000000000001</v>
      </c>
      <c r="C22" s="10">
        <v>6.8999999999999999E-3</v>
      </c>
      <c r="D22" s="5">
        <v>28.4451</v>
      </c>
      <c r="E22" t="s">
        <v>3</v>
      </c>
      <c r="G22" s="10">
        <v>0.10580000000000001</v>
      </c>
      <c r="H22" s="10">
        <v>1.0800000000000001E-2</v>
      </c>
      <c r="I22" s="5">
        <v>73.969200000000001</v>
      </c>
      <c r="J22" t="s">
        <v>13</v>
      </c>
    </row>
    <row r="23" spans="1:10" x14ac:dyDescent="0.3">
      <c r="B23" s="10">
        <v>0.14940000000000001</v>
      </c>
      <c r="C23" s="10">
        <v>7.4000000000000003E-3</v>
      </c>
      <c r="D23" s="5">
        <v>21.163599999999999</v>
      </c>
      <c r="E23" t="s">
        <v>12</v>
      </c>
      <c r="F23" s="6">
        <v>44979</v>
      </c>
      <c r="G23" s="10">
        <v>9.0399999999999994E-2</v>
      </c>
      <c r="H23" s="10">
        <v>2.4199999999999999E-2</v>
      </c>
      <c r="I23" s="5">
        <v>65.174899999999994</v>
      </c>
      <c r="J23" t="s">
        <v>7</v>
      </c>
    </row>
    <row r="24" spans="1:10" x14ac:dyDescent="0.3">
      <c r="B24" s="10">
        <v>0.1368</v>
      </c>
      <c r="C24" s="10">
        <v>8.6999999999999994E-3</v>
      </c>
      <c r="D24" s="5">
        <v>21.187999999999999</v>
      </c>
      <c r="E24" t="s">
        <v>13</v>
      </c>
      <c r="F24" s="3"/>
      <c r="G24" s="10">
        <v>9.8100000000000007E-2</v>
      </c>
      <c r="H24" s="10">
        <v>2.01E-2</v>
      </c>
      <c r="I24" s="5">
        <v>51.072200000000002</v>
      </c>
      <c r="J24" t="s">
        <v>3</v>
      </c>
    </row>
    <row r="25" spans="1:10" x14ac:dyDescent="0.3">
      <c r="A25" s="6">
        <v>44980</v>
      </c>
      <c r="B25" s="10">
        <v>0.1482</v>
      </c>
      <c r="C25" s="10">
        <v>1.4999999999999999E-2</v>
      </c>
      <c r="D25" s="5">
        <v>22.217300000000002</v>
      </c>
      <c r="E25" t="s">
        <v>7</v>
      </c>
      <c r="F25" s="3"/>
      <c r="G25" s="10">
        <v>0.1105</v>
      </c>
      <c r="H25" s="10">
        <v>1.9699999999999999E-2</v>
      </c>
      <c r="I25" s="5">
        <v>87.433499999999995</v>
      </c>
      <c r="J25" t="s">
        <v>12</v>
      </c>
    </row>
    <row r="26" spans="1:10" x14ac:dyDescent="0.3">
      <c r="B26" s="10">
        <v>0.1489</v>
      </c>
      <c r="C26" s="10">
        <v>1.26E-2</v>
      </c>
      <c r="D26" s="5">
        <v>28.401499999999999</v>
      </c>
      <c r="E26" t="s">
        <v>3</v>
      </c>
      <c r="F26" s="3"/>
      <c r="G26" s="10">
        <v>9.9699999999999997E-2</v>
      </c>
      <c r="H26" s="10">
        <v>3.1899999999999998E-2</v>
      </c>
      <c r="I26" s="5">
        <v>185.91900000000001</v>
      </c>
      <c r="J26" t="s">
        <v>13</v>
      </c>
    </row>
    <row r="27" spans="1:10" x14ac:dyDescent="0.3">
      <c r="B27" s="10">
        <v>0.1638</v>
      </c>
      <c r="C27" s="10">
        <v>1.46E-2</v>
      </c>
      <c r="D27" s="5">
        <v>21.686900000000001</v>
      </c>
      <c r="E27" t="s">
        <v>12</v>
      </c>
      <c r="F27" s="6">
        <v>45251</v>
      </c>
      <c r="G27" s="10">
        <v>9.8599999999999993E-2</v>
      </c>
      <c r="H27" s="10">
        <v>1.5100000000000001E-2</v>
      </c>
      <c r="I27" s="5">
        <v>47.221699999999998</v>
      </c>
      <c r="J27" t="s">
        <v>7</v>
      </c>
    </row>
    <row r="28" spans="1:10" x14ac:dyDescent="0.3">
      <c r="B28" s="10">
        <v>0.14849999999999999</v>
      </c>
      <c r="C28" s="10">
        <v>1.47E-2</v>
      </c>
      <c r="D28" s="5">
        <v>21.3081</v>
      </c>
      <c r="E28" t="s">
        <v>13</v>
      </c>
      <c r="F28" s="3"/>
      <c r="G28" s="10">
        <v>0.1027</v>
      </c>
      <c r="H28" s="10">
        <v>1.3299999999999999E-2</v>
      </c>
      <c r="I28" s="5">
        <v>50.608600000000003</v>
      </c>
      <c r="J28" t="s">
        <v>3</v>
      </c>
    </row>
    <row r="29" spans="1:10" x14ac:dyDescent="0.3">
      <c r="A29" s="6">
        <v>45252</v>
      </c>
      <c r="B29" s="10">
        <v>0.16930000000000001</v>
      </c>
      <c r="C29" s="10">
        <v>1.84E-2</v>
      </c>
      <c r="D29" s="5">
        <v>22.44</v>
      </c>
      <c r="E29" t="s">
        <v>7</v>
      </c>
      <c r="F29" s="3"/>
      <c r="G29" s="10">
        <v>0.1148</v>
      </c>
      <c r="H29" s="10">
        <v>1.24E-2</v>
      </c>
      <c r="I29" s="5">
        <v>53.227200000000003</v>
      </c>
      <c r="J29" t="s">
        <v>12</v>
      </c>
    </row>
    <row r="30" spans="1:10" x14ac:dyDescent="0.3">
      <c r="A30" s="1"/>
      <c r="B30" s="10">
        <v>0.15329999999999999</v>
      </c>
      <c r="C30" s="10">
        <v>1.5800000000000002E-2</v>
      </c>
      <c r="D30" s="5">
        <v>27.933</v>
      </c>
      <c r="E30" t="s">
        <v>3</v>
      </c>
      <c r="F30" s="3"/>
      <c r="G30" s="10">
        <v>0.1119</v>
      </c>
      <c r="H30" s="10">
        <v>1.72E-2</v>
      </c>
      <c r="I30" s="5">
        <v>96.507199999999997</v>
      </c>
      <c r="J30" t="s">
        <v>13</v>
      </c>
    </row>
    <row r="31" spans="1:10" x14ac:dyDescent="0.3">
      <c r="A31" s="1"/>
      <c r="B31" s="10">
        <v>0.15579999999999999</v>
      </c>
      <c r="C31" s="10">
        <v>1.6899999999999998E-2</v>
      </c>
      <c r="D31" s="5">
        <v>21.196899999999999</v>
      </c>
      <c r="E31" t="s">
        <v>12</v>
      </c>
      <c r="F31" s="6">
        <v>45609</v>
      </c>
      <c r="G31" s="10">
        <v>0.13519999999999999</v>
      </c>
      <c r="H31" s="10">
        <v>5.8099999999999999E-2</v>
      </c>
      <c r="I31" s="5">
        <v>41.0608</v>
      </c>
      <c r="J31" t="s">
        <v>7</v>
      </c>
    </row>
    <row r="32" spans="1:10" x14ac:dyDescent="0.3">
      <c r="A32" s="1"/>
      <c r="B32" s="10">
        <v>0.12989999999999999</v>
      </c>
      <c r="C32" s="10">
        <v>1.03E-2</v>
      </c>
      <c r="D32" s="5">
        <v>21.1526</v>
      </c>
      <c r="E32" t="s">
        <v>13</v>
      </c>
      <c r="F32" s="3"/>
      <c r="G32" s="10">
        <v>0.1179</v>
      </c>
      <c r="H32" s="10">
        <v>1.6500000000000001E-2</v>
      </c>
      <c r="I32" s="5">
        <v>40.7119</v>
      </c>
      <c r="J32" t="s">
        <v>3</v>
      </c>
    </row>
    <row r="33" spans="1:10" x14ac:dyDescent="0.3">
      <c r="A33" s="6">
        <v>45610</v>
      </c>
      <c r="B33" s="10">
        <v>0.1678</v>
      </c>
      <c r="C33" s="10">
        <v>1.8100000000000002E-2</v>
      </c>
      <c r="D33" s="5">
        <v>23.063700000000001</v>
      </c>
      <c r="E33" t="s">
        <v>7</v>
      </c>
      <c r="F33" s="3"/>
      <c r="G33" s="10">
        <v>0.15</v>
      </c>
      <c r="H33" s="10">
        <v>5.1700000000000003E-2</v>
      </c>
      <c r="I33" s="5">
        <v>43.782600000000002</v>
      </c>
      <c r="J33" t="s">
        <v>12</v>
      </c>
    </row>
    <row r="34" spans="1:10" x14ac:dyDescent="0.3">
      <c r="A34" s="1"/>
      <c r="B34" s="10">
        <v>0.14810000000000001</v>
      </c>
      <c r="C34" s="10">
        <v>1.4E-2</v>
      </c>
      <c r="D34" s="5">
        <v>28.620999999999999</v>
      </c>
      <c r="E34" t="s">
        <v>3</v>
      </c>
      <c r="F34" s="3"/>
      <c r="G34" s="10">
        <v>0.12509999999999999</v>
      </c>
      <c r="H34" s="10">
        <v>2.6100000000000002E-2</v>
      </c>
      <c r="I34" s="5">
        <v>62.755200000000002</v>
      </c>
      <c r="J34" t="s">
        <v>13</v>
      </c>
    </row>
    <row r="35" spans="1:10" x14ac:dyDescent="0.3">
      <c r="A35" s="1"/>
      <c r="B35" s="10">
        <v>0.1593</v>
      </c>
      <c r="C35" s="10">
        <v>1.77E-2</v>
      </c>
      <c r="D35" s="5">
        <v>21.232800000000001</v>
      </c>
      <c r="E35" t="s">
        <v>12</v>
      </c>
      <c r="F35" s="6">
        <v>45700</v>
      </c>
      <c r="G35" s="10">
        <v>8.9700000000000002E-2</v>
      </c>
      <c r="H35" s="10">
        <v>2.8799999999999999E-2</v>
      </c>
      <c r="I35" s="5">
        <v>53.650599999999997</v>
      </c>
      <c r="J35" t="s">
        <v>7</v>
      </c>
    </row>
    <row r="36" spans="1:10" x14ac:dyDescent="0.3">
      <c r="A36" s="1"/>
      <c r="B36" s="10">
        <v>0.15570000000000001</v>
      </c>
      <c r="C36" s="10">
        <v>1.5900000000000001E-2</v>
      </c>
      <c r="D36" s="5">
        <v>21.270199999999999</v>
      </c>
      <c r="E36" t="s">
        <v>13</v>
      </c>
      <c r="G36" s="10">
        <v>9.4E-2</v>
      </c>
      <c r="H36" s="10">
        <v>2.1299999999999999E-2</v>
      </c>
      <c r="I36" s="5">
        <v>57.605600000000003</v>
      </c>
      <c r="J36" t="s">
        <v>3</v>
      </c>
    </row>
    <row r="37" spans="1:10" x14ac:dyDescent="0.3">
      <c r="A37" s="6">
        <v>45701</v>
      </c>
      <c r="B37" s="10">
        <v>0.1328</v>
      </c>
      <c r="C37" s="10">
        <v>4.3799999999999999E-2</v>
      </c>
      <c r="D37" s="5">
        <v>22.9968</v>
      </c>
      <c r="E37" t="s">
        <v>7</v>
      </c>
      <c r="G37" s="10">
        <v>0.1105</v>
      </c>
      <c r="H37" s="10">
        <v>2.29E-2</v>
      </c>
      <c r="I37" s="5">
        <v>79.874499999999998</v>
      </c>
      <c r="J37" t="s">
        <v>12</v>
      </c>
    </row>
    <row r="38" spans="1:10" x14ac:dyDescent="0.3">
      <c r="A38" s="1"/>
      <c r="B38" s="10">
        <v>0.15240000000000001</v>
      </c>
      <c r="C38" s="10">
        <v>1.6299999999999999E-2</v>
      </c>
      <c r="D38" s="5">
        <v>28.728000000000002</v>
      </c>
      <c r="E38" t="s">
        <v>3</v>
      </c>
      <c r="G38" s="10">
        <v>0.10059999999999999</v>
      </c>
      <c r="H38" s="10">
        <v>1.83E-2</v>
      </c>
      <c r="I38" s="5">
        <v>193.59700000000001</v>
      </c>
      <c r="J38" t="s">
        <v>13</v>
      </c>
    </row>
    <row r="39" spans="1:10" x14ac:dyDescent="0.3">
      <c r="A39" s="1"/>
      <c r="B39" s="10">
        <v>0.14979999999999999</v>
      </c>
      <c r="C39" s="10">
        <v>2.23E-2</v>
      </c>
      <c r="D39" s="5">
        <v>21.630600000000001</v>
      </c>
      <c r="E39" t="s">
        <v>12</v>
      </c>
    </row>
    <row r="40" spans="1:10" x14ac:dyDescent="0.3">
      <c r="A40" s="1"/>
      <c r="B40" s="10">
        <v>0.1467</v>
      </c>
      <c r="C40" s="10">
        <v>2.64E-2</v>
      </c>
      <c r="D40" s="5">
        <v>21.244700000000002</v>
      </c>
      <c r="E40" t="s">
        <v>13</v>
      </c>
    </row>
    <row r="41" spans="1:10" x14ac:dyDescent="0.3">
      <c r="A41" s="1"/>
      <c r="B41" s="5"/>
      <c r="C41" s="5"/>
      <c r="D41" s="5"/>
    </row>
    <row r="42" spans="1:10" x14ac:dyDescent="0.3">
      <c r="A42" s="8" t="s">
        <v>20</v>
      </c>
    </row>
  </sheetData>
  <pageMargins left="0.7" right="0.7" top="0.78740157499999996" bottom="0.78740157499999996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5" sqref="J15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5" sqref="H15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3" sqref="A3:B10"/>
    </sheetView>
  </sheetViews>
  <sheetFormatPr baseColWidth="10" defaultRowHeight="14.4" x14ac:dyDescent="0.3"/>
  <cols>
    <col min="2" max="2" width="13.44140625" customWidth="1"/>
  </cols>
  <sheetData>
    <row r="1" spans="1:2" x14ac:dyDescent="0.3">
      <c r="A1" t="s">
        <v>25</v>
      </c>
    </row>
    <row r="3" spans="1:2" x14ac:dyDescent="0.3">
      <c r="A3" s="9" t="s">
        <v>22</v>
      </c>
      <c r="B3" s="9" t="s">
        <v>21</v>
      </c>
    </row>
    <row r="4" spans="1:2" x14ac:dyDescent="0.3">
      <c r="A4" s="9" t="s">
        <v>23</v>
      </c>
      <c r="B4" s="9" t="s">
        <v>24</v>
      </c>
    </row>
    <row r="5" spans="1:2" x14ac:dyDescent="0.3">
      <c r="B5" s="7">
        <v>44679</v>
      </c>
    </row>
    <row r="6" spans="1:2" x14ac:dyDescent="0.3">
      <c r="A6" s="7">
        <v>44853</v>
      </c>
      <c r="B6" s="7">
        <v>44854</v>
      </c>
    </row>
    <row r="7" spans="1:2" x14ac:dyDescent="0.3">
      <c r="A7" s="7">
        <v>44979</v>
      </c>
      <c r="B7" s="7">
        <v>44980</v>
      </c>
    </row>
    <row r="8" spans="1:2" x14ac:dyDescent="0.3">
      <c r="A8" s="7">
        <v>45251</v>
      </c>
      <c r="B8" s="7">
        <v>45252</v>
      </c>
    </row>
    <row r="9" spans="1:2" x14ac:dyDescent="0.3">
      <c r="A9" s="7">
        <v>45609</v>
      </c>
      <c r="B9" s="7">
        <v>45610</v>
      </c>
    </row>
    <row r="10" spans="1:2" x14ac:dyDescent="0.3">
      <c r="A10" s="7">
        <v>45700</v>
      </c>
      <c r="B10" s="7">
        <v>45701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30" sqref="A30"/>
    </sheetView>
  </sheetViews>
  <sheetFormatPr baseColWidth="10" defaultRowHeight="14.4" x14ac:dyDescent="0.3"/>
  <cols>
    <col min="1" max="1" width="22.44140625" customWidth="1"/>
    <col min="2" max="2" width="14" customWidth="1"/>
    <col min="6" max="6" width="16.6640625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4</v>
      </c>
      <c r="F1" t="s">
        <v>14</v>
      </c>
      <c r="G1" t="s">
        <v>15</v>
      </c>
    </row>
    <row r="2" spans="1:7" x14ac:dyDescent="0.3">
      <c r="A2">
        <v>0.01</v>
      </c>
      <c r="B2">
        <f>A2/0.15</f>
        <v>6.6666666666666666E-2</v>
      </c>
      <c r="C2">
        <f>$B$24*POWER(B2,1.72)*POWER(0.15,1.38)+0.11*POWER(B2,0.4)</f>
        <v>3.9098375674486895E-2</v>
      </c>
      <c r="D2">
        <f>1/C2</f>
        <v>25.576510091505828</v>
      </c>
      <c r="F2">
        <f>1.108*POWER(Kruschwitz2004!A2,-1.58)</f>
        <v>1601.5472659864879</v>
      </c>
      <c r="G2">
        <f>1.6866*POWER(Kruschwitz2004!A2,-1.325)</f>
        <v>753.37654652181413</v>
      </c>
    </row>
    <row r="3" spans="1:7" x14ac:dyDescent="0.3">
      <c r="A3">
        <f>0.01+A2</f>
        <v>0.02</v>
      </c>
      <c r="B3">
        <f t="shared" ref="B3:B19" si="0">A3/0.15</f>
        <v>0.13333333333333333</v>
      </c>
      <c r="C3">
        <f t="shared" ref="C3:C19" si="1">$B$24*POWER(B3,1.72)*POWER(0.15,1.38)+0.11*POWER(B3,0.4)</f>
        <v>5.5269698242371469E-2</v>
      </c>
      <c r="D3">
        <f t="shared" ref="D3:D19" si="2">1/C3</f>
        <v>18.093096792653899</v>
      </c>
      <c r="F3">
        <f>1.108*POWER(Kruschwitz2004!A3,-1.58)</f>
        <v>535.68855436392141</v>
      </c>
      <c r="G3">
        <f>1.6866*POWER(Kruschwitz2004!A3,-1.325)</f>
        <v>300.70964070365505</v>
      </c>
    </row>
    <row r="4" spans="1:7" x14ac:dyDescent="0.3">
      <c r="A4">
        <f>0.01+A3</f>
        <v>0.03</v>
      </c>
      <c r="B4">
        <f t="shared" si="0"/>
        <v>0.2</v>
      </c>
      <c r="C4">
        <f t="shared" si="1"/>
        <v>7.0110475159670657E-2</v>
      </c>
      <c r="D4">
        <f t="shared" si="2"/>
        <v>14.263203861086163</v>
      </c>
      <c r="F4">
        <f>1.108*POWER(Kruschwitz2004!A4,-1.58)</f>
        <v>282.2852447992779</v>
      </c>
      <c r="G4">
        <f>1.6866*POWER(Kruschwitz2004!A4,-1.325)</f>
        <v>175.72211972311013</v>
      </c>
    </row>
    <row r="5" spans="1:7" x14ac:dyDescent="0.3">
      <c r="A5">
        <f t="shared" ref="A5:A19" si="3">0.01+A4</f>
        <v>0.04</v>
      </c>
      <c r="B5">
        <f t="shared" si="0"/>
        <v>0.26666666666666666</v>
      </c>
      <c r="C5">
        <f t="shared" si="1"/>
        <v>8.5049040400443227E-2</v>
      </c>
      <c r="D5">
        <f t="shared" si="2"/>
        <v>11.757922197494759</v>
      </c>
      <c r="F5">
        <f>1.108*POWER(Kruschwitz2004!A5,-1.58)</f>
        <v>179.17811941675706</v>
      </c>
      <c r="G5">
        <f>1.6866*POWER(Kruschwitz2004!A5,-1.325)</f>
        <v>120.02801046780786</v>
      </c>
    </row>
    <row r="6" spans="1:7" x14ac:dyDescent="0.3">
      <c r="A6">
        <f t="shared" si="3"/>
        <v>0.05</v>
      </c>
      <c r="B6">
        <f t="shared" si="0"/>
        <v>0.33333333333333337</v>
      </c>
      <c r="C6">
        <f t="shared" si="1"/>
        <v>0.10056119161160945</v>
      </c>
      <c r="D6">
        <f t="shared" si="2"/>
        <v>9.9441940173325616</v>
      </c>
      <c r="F6">
        <f>1.108*POWER(Kruschwitz2004!A6,-1.58)</f>
        <v>125.94100468781357</v>
      </c>
      <c r="G6">
        <f>1.6866*POWER(Kruschwitz2004!A6,-1.325)</f>
        <v>89.305219088741907</v>
      </c>
    </row>
    <row r="7" spans="1:7" x14ac:dyDescent="0.3">
      <c r="A7">
        <f t="shared" si="3"/>
        <v>6.0000000000000005E-2</v>
      </c>
      <c r="B7">
        <f t="shared" si="0"/>
        <v>0.4</v>
      </c>
      <c r="C7">
        <f t="shared" si="1"/>
        <v>0.11685510882320957</v>
      </c>
      <c r="D7">
        <f t="shared" si="2"/>
        <v>8.5576061677620174</v>
      </c>
      <c r="F7">
        <f>1.108*POWER(Kruschwitz2004!A7,-1.58)</f>
        <v>94.419301831624182</v>
      </c>
      <c r="G7">
        <f>1.6866*POWER(Kruschwitz2004!A7,-1.325)</f>
        <v>70.139342311064425</v>
      </c>
    </row>
    <row r="8" spans="1:7" x14ac:dyDescent="0.3">
      <c r="A8">
        <f t="shared" si="3"/>
        <v>7.0000000000000007E-2</v>
      </c>
      <c r="B8">
        <f t="shared" si="0"/>
        <v>0.46666666666666673</v>
      </c>
      <c r="C8">
        <f t="shared" si="1"/>
        <v>0.13403387128711419</v>
      </c>
      <c r="D8">
        <f t="shared" si="2"/>
        <v>7.4608006946087402</v>
      </c>
      <c r="F8">
        <f>1.108*POWER(Kruschwitz2004!A8,-1.58)</f>
        <v>74.009054711055072</v>
      </c>
      <c r="G8">
        <f>1.6866*POWER(Kruschwitz2004!A8,-1.325)</f>
        <v>57.181717152628764</v>
      </c>
    </row>
    <row r="9" spans="1:7" x14ac:dyDescent="0.3">
      <c r="A9">
        <f t="shared" si="3"/>
        <v>0.08</v>
      </c>
      <c r="B9">
        <f t="shared" si="0"/>
        <v>0.53333333333333333</v>
      </c>
      <c r="C9">
        <f t="shared" si="1"/>
        <v>0.15215135273103503</v>
      </c>
      <c r="D9">
        <f t="shared" si="2"/>
        <v>6.5724029530499557</v>
      </c>
      <c r="F9">
        <f>1.108*POWER(Kruschwitz2004!A9,-1.58)</f>
        <v>59.931835795608968</v>
      </c>
      <c r="G9">
        <f>1.6866*POWER(Kruschwitz2004!A9,-1.325)</f>
        <v>47.909083537025076</v>
      </c>
    </row>
    <row r="10" spans="1:7" x14ac:dyDescent="0.3">
      <c r="A10">
        <f t="shared" si="3"/>
        <v>0.09</v>
      </c>
      <c r="B10">
        <f t="shared" si="0"/>
        <v>0.6</v>
      </c>
      <c r="C10">
        <f t="shared" si="1"/>
        <v>0.1712357355686383</v>
      </c>
      <c r="D10">
        <f t="shared" si="2"/>
        <v>5.8399024986181054</v>
      </c>
      <c r="F10">
        <f>1.108*POWER(Kruschwitz2004!A10,-1.58)</f>
        <v>49.754984522611331</v>
      </c>
      <c r="G10">
        <f>1.6866*POWER(Kruschwitz2004!A10,-1.325)</f>
        <v>40.986494074631992</v>
      </c>
    </row>
    <row r="11" spans="1:7" x14ac:dyDescent="0.3">
      <c r="A11">
        <f t="shared" si="3"/>
        <v>9.9999999999999992E-2</v>
      </c>
      <c r="B11">
        <f t="shared" si="0"/>
        <v>0.66666666666666663</v>
      </c>
      <c r="C11">
        <f t="shared" si="1"/>
        <v>0.19130077261491923</v>
      </c>
      <c r="D11">
        <f t="shared" si="2"/>
        <v>5.2273704195275768</v>
      </c>
      <c r="F11">
        <f>1.108*POWER(Kruschwitz2004!A11,-1.58)</f>
        <v>42.124985112318207</v>
      </c>
      <c r="G11">
        <f>1.6866*POWER(Kruschwitz2004!A11,-1.325)</f>
        <v>35.646106145884893</v>
      </c>
    </row>
    <row r="12" spans="1:7" x14ac:dyDescent="0.3">
      <c r="A12">
        <f t="shared" si="3"/>
        <v>0.10999999999999999</v>
      </c>
      <c r="B12">
        <f t="shared" si="0"/>
        <v>0.73333333333333328</v>
      </c>
      <c r="C12">
        <f t="shared" si="1"/>
        <v>0.21235169422406158</v>
      </c>
      <c r="D12">
        <f t="shared" si="2"/>
        <v>4.7091689268316177</v>
      </c>
      <c r="F12">
        <f>1.108*POWER(Kruschwitz2004!A12,-1.58)</f>
        <v>36.235922141885254</v>
      </c>
      <c r="G12">
        <f>1.6866*POWER(Kruschwitz2004!A12,-1.325)</f>
        <v>31.417150187803287</v>
      </c>
    </row>
    <row r="13" spans="1:7" x14ac:dyDescent="0.3">
      <c r="A13">
        <f t="shared" si="3"/>
        <v>0.11999999999999998</v>
      </c>
      <c r="B13">
        <f t="shared" si="0"/>
        <v>0.79999999999999993</v>
      </c>
      <c r="C13">
        <f t="shared" si="1"/>
        <v>0.23438852196380774</v>
      </c>
      <c r="D13">
        <f t="shared" si="2"/>
        <v>4.2664205210288042</v>
      </c>
      <c r="F13">
        <f>1.108*POWER(Kruschwitz2004!A13,-1.58)</f>
        <v>31.581546406049203</v>
      </c>
      <c r="G13">
        <f>1.6866*POWER(Kruschwitz2004!A13,-1.325)</f>
        <v>27.996061893519716</v>
      </c>
    </row>
    <row r="14" spans="1:7" x14ac:dyDescent="0.3">
      <c r="A14">
        <f t="shared" si="3"/>
        <v>0.12999999999999998</v>
      </c>
      <c r="B14">
        <f t="shared" si="0"/>
        <v>0.86666666666666659</v>
      </c>
      <c r="C14">
        <f t="shared" si="1"/>
        <v>0.2574080251307635</v>
      </c>
      <c r="D14">
        <f t="shared" si="2"/>
        <v>3.8848827634336542</v>
      </c>
      <c r="F14">
        <f>1.108*POWER(Kruschwitz2004!A14,-1.58)</f>
        <v>27.829747356489676</v>
      </c>
      <c r="G14">
        <f>1.6866*POWER(Kruschwitz2004!A14,-1.325)</f>
        <v>25.178923259240694</v>
      </c>
    </row>
    <row r="15" spans="1:7" x14ac:dyDescent="0.3">
      <c r="A15">
        <f t="shared" si="3"/>
        <v>0.13999999999999999</v>
      </c>
      <c r="B15">
        <f t="shared" si="0"/>
        <v>0.93333333333333324</v>
      </c>
      <c r="C15">
        <f t="shared" si="1"/>
        <v>0.28140492290473174</v>
      </c>
      <c r="D15">
        <f t="shared" si="2"/>
        <v>3.5535981022568861</v>
      </c>
      <c r="F15">
        <f>1.108*POWER(Kruschwitz2004!A15,-1.58)</f>
        <v>24.754688400398383</v>
      </c>
      <c r="G15">
        <f>1.6866*POWER(Kruschwitz2004!A15,-1.325)</f>
        <v>22.824036266022972</v>
      </c>
    </row>
    <row r="16" spans="1:7" x14ac:dyDescent="0.3">
      <c r="A16">
        <f t="shared" si="3"/>
        <v>0.15</v>
      </c>
      <c r="B16">
        <f t="shared" si="0"/>
        <v>1</v>
      </c>
      <c r="C16">
        <f t="shared" si="1"/>
        <v>0.30637264646882406</v>
      </c>
      <c r="D16">
        <f t="shared" si="2"/>
        <v>3.263998961806005</v>
      </c>
      <c r="F16">
        <f>1.108*POWER(Kruschwitz2004!A16,-1.58)</f>
        <v>22.198088119908405</v>
      </c>
      <c r="G16">
        <f>1.6866*POWER(Kruschwitz2004!A16,-1.325)</f>
        <v>20.830091503460537</v>
      </c>
    </row>
    <row r="17" spans="1:7" x14ac:dyDescent="0.3">
      <c r="A17">
        <f t="shared" si="3"/>
        <v>0.16</v>
      </c>
      <c r="B17">
        <f t="shared" si="0"/>
        <v>1.0666666666666667</v>
      </c>
      <c r="C17">
        <f t="shared" si="1"/>
        <v>0.33230383415076437</v>
      </c>
      <c r="D17">
        <f t="shared" si="2"/>
        <v>3.0092941977500796</v>
      </c>
      <c r="F17">
        <f>1.108*POWER(Kruschwitz2004!A17,-1.58)</f>
        <v>20.046113629965468</v>
      </c>
      <c r="G17">
        <f>1.6866*POWER(Kruschwitz2004!A17,-1.325)</f>
        <v>19.122872039716523</v>
      </c>
    </row>
    <row r="18" spans="1:7" x14ac:dyDescent="0.3">
      <c r="A18">
        <f t="shared" si="3"/>
        <v>0.17</v>
      </c>
      <c r="B18">
        <f t="shared" si="0"/>
        <v>1.1333333333333335</v>
      </c>
      <c r="C18">
        <f t="shared" si="1"/>
        <v>0.35919065923209059</v>
      </c>
      <c r="D18">
        <f t="shared" si="2"/>
        <v>2.7840367623642774</v>
      </c>
      <c r="F18">
        <f>1.108*POWER(Kruschwitz2004!A18,-1.58)</f>
        <v>18.215054064330079</v>
      </c>
      <c r="G18">
        <f>1.6866*POWER(Kruschwitz2004!A18,-1.325)</f>
        <v>17.646853291517264</v>
      </c>
    </row>
    <row r="19" spans="1:7" x14ac:dyDescent="0.3">
      <c r="A19">
        <f t="shared" si="3"/>
        <v>0.18000000000000002</v>
      </c>
      <c r="B19">
        <f t="shared" si="0"/>
        <v>1.2000000000000002</v>
      </c>
      <c r="C19">
        <f t="shared" si="1"/>
        <v>0.38702505000038917</v>
      </c>
      <c r="D19">
        <f t="shared" si="2"/>
        <v>2.5838120814117702</v>
      </c>
      <c r="F19">
        <f>1.108*POWER(Kruschwitz2004!A19,-1.58)</f>
        <v>16.642141195189549</v>
      </c>
      <c r="G19">
        <f>1.6866*POWER(Kruschwitz2004!A19,-1.325)</f>
        <v>16.359726041097545</v>
      </c>
    </row>
    <row r="23" spans="1:7" x14ac:dyDescent="0.3">
      <c r="A23" t="s">
        <v>17</v>
      </c>
      <c r="B23">
        <v>26.92</v>
      </c>
    </row>
    <row r="24" spans="1:7" x14ac:dyDescent="0.3">
      <c r="A24" t="s">
        <v>19</v>
      </c>
      <c r="B24">
        <f>B23/1000*100</f>
        <v>2.6920000000000002</v>
      </c>
    </row>
    <row r="25" spans="1:7" x14ac:dyDescent="0.3">
      <c r="A25" t="s">
        <v>18</v>
      </c>
      <c r="B25">
        <f>1/B24</f>
        <v>0.37147102526002967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Data2019+</vt:lpstr>
      <vt:lpstr>open-closed</vt:lpstr>
      <vt:lpstr>sidewalls</vt:lpstr>
      <vt:lpstr>top-bottom</vt:lpstr>
      <vt:lpstr>Tabelle1</vt:lpstr>
      <vt:lpstr>Kruschwitz2004</vt:lpstr>
    </vt:vector>
  </TitlesOfParts>
  <Company>GZH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Costabel, Stephan</dc:creator>
  <cp:lastModifiedBy>Costabel, Stephan</cp:lastModifiedBy>
  <cp:lastPrinted>2025-03-25T10:14:58Z</cp:lastPrinted>
  <dcterms:created xsi:type="dcterms:W3CDTF">2022-08-29T11:32:03Z</dcterms:created>
  <dcterms:modified xsi:type="dcterms:W3CDTF">2025-03-25T10:28:16Z</dcterms:modified>
</cp:coreProperties>
</file>